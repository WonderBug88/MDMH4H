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Users\Charles\2026 Excel versions of special price lists\Kartri 2026\"/>
    </mc:Choice>
  </mc:AlternateContent>
  <xr:revisionPtr revIDLastSave="0" documentId="13_ncr:1_{335554ED-3CF1-4A7D-8E3D-CA2C78EE31AB}" xr6:coauthVersionLast="47" xr6:coauthVersionMax="47" xr10:uidLastSave="{00000000-0000-0000-0000-000000000000}"/>
  <bookViews>
    <workbookView xWindow="-23148" yWindow="-108" windowWidth="23256" windowHeight="12456" activeTab="1" xr2:uid="{6CCA8754-0D6E-4DA1-A66D-F0D179314BF4}"/>
  </bookViews>
  <sheets>
    <sheet name="Hang2it" sheetId="2" r:id="rId1"/>
    <sheet name="Stocked" sheetId="6" r:id="rId2"/>
    <sheet name="Hware &amp; Accy" sheetId="3" r:id="rId3"/>
    <sheet name="Bed" sheetId="4" r:id="rId4"/>
    <sheet name="Spa" sheetId="5" r:id="rId5"/>
  </sheets>
  <definedNames>
    <definedName name="_xlnm.Print_Area" localSheetId="3">Bed!$A$1:$I$61</definedName>
    <definedName name="_xlnm.Print_Area" localSheetId="0">Hang2it!$A$1:$J$186</definedName>
    <definedName name="_xlnm.Print_Area" localSheetId="2">'Hware &amp; Accy'!$A$1:$F$58</definedName>
    <definedName name="_xlnm.Print_Area" localSheetId="4">Spa!$A$1:$I$32</definedName>
    <definedName name="_xlnm.Print_Area" localSheetId="1">Stocked!$A$1:$I$104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F29" i="5"/>
  <c r="F28" i="5"/>
  <c r="F27" i="5"/>
  <c r="F26" i="5"/>
  <c r="F21" i="5"/>
  <c r="F20" i="5"/>
  <c r="F19" i="5"/>
  <c r="F18" i="5"/>
  <c r="F13" i="5"/>
  <c r="F12" i="5"/>
  <c r="F11" i="5"/>
  <c r="F10" i="5"/>
  <c r="F59" i="4"/>
  <c r="F58" i="4"/>
  <c r="F57" i="4"/>
  <c r="F56" i="4"/>
  <c r="F55" i="4"/>
  <c r="F54" i="4"/>
  <c r="F53" i="4"/>
  <c r="F52" i="4"/>
  <c r="F51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1" i="4"/>
  <c r="F30" i="4"/>
  <c r="F29" i="4"/>
  <c r="F28" i="4"/>
  <c r="F27" i="4"/>
  <c r="F26" i="4"/>
  <c r="F25" i="4"/>
  <c r="F24" i="4"/>
  <c r="F22" i="4"/>
  <c r="F21" i="4"/>
  <c r="F20" i="4"/>
  <c r="F19" i="4"/>
  <c r="F18" i="4"/>
  <c r="F17" i="4"/>
  <c r="F16" i="4"/>
  <c r="F15" i="4"/>
  <c r="F14" i="4"/>
  <c r="F13" i="4"/>
  <c r="F12" i="4"/>
  <c r="F11" i="4"/>
  <c r="G183" i="2"/>
  <c r="G182" i="2"/>
  <c r="G181" i="2"/>
  <c r="G179" i="2"/>
  <c r="G178" i="2"/>
  <c r="G177" i="2"/>
  <c r="G176" i="2"/>
  <c r="G175" i="2"/>
  <c r="G174" i="2"/>
  <c r="G173" i="2"/>
  <c r="G171" i="2"/>
  <c r="G170" i="2"/>
  <c r="G169" i="2"/>
  <c r="G164" i="2"/>
  <c r="G162" i="2"/>
  <c r="G158" i="2"/>
  <c r="G154" i="2"/>
  <c r="G153" i="2"/>
  <c r="G152" i="2"/>
  <c r="G148" i="2"/>
  <c r="G147" i="2"/>
  <c r="G145" i="2"/>
  <c r="G144" i="2"/>
  <c r="G139" i="2"/>
  <c r="G137" i="2"/>
  <c r="G136" i="2"/>
  <c r="G135" i="2"/>
  <c r="G131" i="2"/>
  <c r="G130" i="2"/>
  <c r="G129" i="2"/>
  <c r="G128" i="2"/>
  <c r="G127" i="2"/>
  <c r="G123" i="2"/>
  <c r="G122" i="2"/>
  <c r="G120" i="2"/>
  <c r="G119" i="2"/>
  <c r="G115" i="2"/>
  <c r="G111" i="2"/>
  <c r="G109" i="2"/>
  <c r="G108" i="2"/>
  <c r="G107" i="2"/>
  <c r="G103" i="2"/>
  <c r="G102" i="2"/>
  <c r="F100" i="2"/>
  <c r="G100" i="2" s="1"/>
  <c r="G99" i="2"/>
  <c r="G95" i="2"/>
  <c r="G94" i="2"/>
  <c r="G93" i="2"/>
  <c r="G92" i="2"/>
  <c r="G90" i="2"/>
  <c r="G89" i="2"/>
  <c r="G88" i="2"/>
  <c r="G87" i="2"/>
  <c r="G86" i="2"/>
  <c r="G85" i="2"/>
  <c r="G84" i="2"/>
  <c r="G83" i="2"/>
  <c r="G82" i="2"/>
  <c r="G78" i="2"/>
  <c r="G77" i="2"/>
  <c r="G75" i="2"/>
  <c r="G74" i="2"/>
  <c r="G70" i="2"/>
  <c r="G69" i="2"/>
  <c r="G65" i="2"/>
  <c r="G64" i="2"/>
  <c r="G62" i="2"/>
  <c r="G61" i="2"/>
  <c r="G57" i="2"/>
  <c r="G56" i="2"/>
  <c r="G55" i="2"/>
  <c r="G54" i="2"/>
  <c r="G53" i="2"/>
  <c r="G51" i="2"/>
  <c r="G50" i="2"/>
  <c r="G49" i="2"/>
  <c r="G48" i="2"/>
  <c r="G47" i="2"/>
  <c r="G46" i="2"/>
  <c r="G45" i="2"/>
  <c r="G41" i="2"/>
  <c r="G40" i="2"/>
  <c r="G39" i="2"/>
  <c r="G37" i="2"/>
  <c r="G36" i="2"/>
  <c r="G35" i="2"/>
  <c r="G34" i="2"/>
  <c r="G33" i="2"/>
  <c r="G32" i="2"/>
  <c r="G31" i="2"/>
  <c r="G27" i="2"/>
  <c r="G26" i="2"/>
  <c r="G24" i="2"/>
  <c r="G23" i="2"/>
  <c r="G22" i="2"/>
  <c r="G21" i="2"/>
  <c r="G17" i="2"/>
  <c r="G16" i="2"/>
  <c r="G15" i="2"/>
  <c r="G13" i="2"/>
  <c r="G12" i="2"/>
  <c r="G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Ramos</author>
  </authors>
  <commentList>
    <comment ref="A30" authorId="0" shapeId="0" xr:uid="{4A39F755-8305-4D21-8F57-C3940DB9E60B}">
      <text>
        <r>
          <rPr>
            <b/>
            <sz val="9"/>
            <color indexed="81"/>
            <rFont val="Tahoma"/>
            <family val="2"/>
          </rPr>
          <t>2/2026
 per Tom. Mitch cant get anyone to dye goods. Recommened try mexico. T.K. leave on PL for now</t>
        </r>
      </text>
    </comment>
  </commentList>
</comments>
</file>

<file path=xl/sharedStrings.xml><?xml version="1.0" encoding="utf-8"?>
<sst xmlns="http://schemas.openxmlformats.org/spreadsheetml/2006/main" count="1652" uniqueCount="551">
  <si>
    <t>Prices shown are list prices and may be changed without notice due to unforeseen cost increases of imported products, raw materials, or global shipping fluctuations.</t>
  </si>
  <si>
    <t>TRADITIONAL SHOWER CURTAINS</t>
  </si>
  <si>
    <t>Price List March 2026</t>
  </si>
  <si>
    <t>Traditional Hang Shower Curtain</t>
  </si>
  <si>
    <t>Effective thru February 2027</t>
  </si>
  <si>
    <t>For unlisted items or volume pricing call us at: 570-785-3365</t>
  </si>
  <si>
    <t>Price list intended for distributors</t>
  </si>
  <si>
    <t>Minimum Order: $25.00                    Sample Orders: Minimum $25.00</t>
  </si>
  <si>
    <t>ITEMS BELOW ARE PRICED IN EACHES / SOLD BY CASE - BROKEN CASE FEE $35.00</t>
  </si>
  <si>
    <t>Fabric shower curtains listed below are manufactured with sewn eyelets in heading</t>
  </si>
  <si>
    <t>Product ID</t>
  </si>
  <si>
    <t>Name / Color Curtain</t>
  </si>
  <si>
    <r>
      <t xml:space="preserve">Price / EA
72" X 72"
</t>
    </r>
    <r>
      <rPr>
        <b/>
        <sz val="10"/>
        <color rgb="FFFF0000"/>
        <rFont val="Arial"/>
        <family val="2"/>
      </rPr>
      <t>Sold 12/CASE</t>
    </r>
  </si>
  <si>
    <r>
      <t xml:space="preserve">Price / EA
48" X 72"
</t>
    </r>
    <r>
      <rPr>
        <b/>
        <sz val="10"/>
        <color rgb="FFFF0000"/>
        <rFont val="Arial"/>
        <family val="2"/>
      </rPr>
      <t>Sold 18/CASE</t>
    </r>
  </si>
  <si>
    <r>
      <t xml:space="preserve">Price / EA
42" x 72"
</t>
    </r>
    <r>
      <rPr>
        <b/>
        <sz val="10"/>
        <color rgb="FFFF0000"/>
        <rFont val="Arial"/>
        <family val="2"/>
      </rPr>
      <t>Sold 18/CASE</t>
    </r>
  </si>
  <si>
    <r>
      <t xml:space="preserve">Price / EA
36" X 72"
</t>
    </r>
    <r>
      <rPr>
        <b/>
        <sz val="10"/>
        <color rgb="FFFF0000"/>
        <rFont val="Arial"/>
        <family val="2"/>
      </rPr>
      <t>Sold 24/CASE</t>
    </r>
  </si>
  <si>
    <t>COO</t>
  </si>
  <si>
    <t>SPCNA</t>
  </si>
  <si>
    <t>Dobbie Sparkle White-1</t>
  </si>
  <si>
    <t>n/a</t>
  </si>
  <si>
    <t>CN</t>
  </si>
  <si>
    <t>SP</t>
  </si>
  <si>
    <t>Dobbie White-1, Beige-2</t>
  </si>
  <si>
    <t>US/MX</t>
  </si>
  <si>
    <t>DY</t>
  </si>
  <si>
    <t>Dynasty White-1, Beige-2</t>
  </si>
  <si>
    <t>G-KNA</t>
  </si>
  <si>
    <r>
      <t xml:space="preserve">Karlon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White-1</t>
    </r>
  </si>
  <si>
    <t>VN</t>
  </si>
  <si>
    <t>KN</t>
  </si>
  <si>
    <t>MX</t>
  </si>
  <si>
    <t>ML</t>
  </si>
  <si>
    <t>NYCH7272</t>
  </si>
  <si>
    <t xml:space="preserve">Nylon Beige-2                                </t>
  </si>
  <si>
    <t>NYVNA</t>
  </si>
  <si>
    <t>NYVNA MW</t>
  </si>
  <si>
    <t xml:space="preserve">Nylon White-1 with magnetic weights                  </t>
  </si>
  <si>
    <t>NY</t>
  </si>
  <si>
    <t>TW/MX</t>
  </si>
  <si>
    <t>SN</t>
  </si>
  <si>
    <t xml:space="preserve">Satein Beige-2                                                         </t>
  </si>
  <si>
    <t>US</t>
  </si>
  <si>
    <t>SNW</t>
  </si>
  <si>
    <t xml:space="preserve">Satein Woven White-1, Beige-2                             </t>
  </si>
  <si>
    <t>SBOXA</t>
  </si>
  <si>
    <t xml:space="preserve">Satin Box White-1                                                       </t>
  </si>
  <si>
    <t>SBOX72</t>
  </si>
  <si>
    <r>
      <t xml:space="preserve">Satin Box White-1                         </t>
    </r>
    <r>
      <rPr>
        <sz val="11"/>
        <color rgb="FFEE0000"/>
        <rFont val="Arial"/>
        <family val="2"/>
      </rPr>
      <t xml:space="preserve">                       </t>
    </r>
  </si>
  <si>
    <t>VCA</t>
  </si>
  <si>
    <t xml:space="preserve">Vision Check White-1, Beige-2                                  </t>
  </si>
  <si>
    <t>GRT-HPSA</t>
  </si>
  <si>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Handpainted Stripe Grey-11                        </t>
    </r>
  </si>
  <si>
    <t>IN</t>
  </si>
  <si>
    <t>GRT-WCFA</t>
  </si>
  <si>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Watercolor Fish Blue-7                               </t>
    </r>
  </si>
  <si>
    <t>GRT-HA</t>
  </si>
  <si>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Hayes Blue-7                                   </t>
    </r>
    <r>
      <rPr>
        <sz val="11"/>
        <color rgb="FFEE0000"/>
        <rFont val="Arial"/>
        <family val="2"/>
      </rPr>
      <t xml:space="preserve">            </t>
    </r>
  </si>
  <si>
    <t xml:space="preserve">Fabric shower curtains listed below are manufactured with metal grommets in heading </t>
  </si>
  <si>
    <t>DK</t>
  </si>
  <si>
    <t xml:space="preserve">Duck Twill White-1, Beige-2 (100% Cotton)               </t>
  </si>
  <si>
    <t>Fabric shower curtains listed below are FR701 RATED</t>
  </si>
  <si>
    <t>CH</t>
  </si>
  <si>
    <r>
      <t xml:space="preserve">Crosshatch (has 20" of integral mesh) Cool Gray-11, Cooper-73, Taupe-82             </t>
    </r>
    <r>
      <rPr>
        <sz val="11"/>
        <color rgb="FFEE0000"/>
        <rFont val="Arial"/>
        <family val="2"/>
      </rPr>
      <t xml:space="preserve">   
</t>
    </r>
    <r>
      <rPr>
        <sz val="11"/>
        <color theme="8"/>
        <rFont val="Arial"/>
        <family val="2"/>
      </rPr>
      <t xml:space="preserve">standard w/ metal grommets  </t>
    </r>
    <r>
      <rPr>
        <sz val="11"/>
        <color theme="1"/>
        <rFont val="Arial"/>
        <family val="2"/>
      </rPr>
      <t xml:space="preserve">                                                              </t>
    </r>
    <r>
      <rPr>
        <sz val="11"/>
        <color rgb="FFFF0000"/>
        <rFont val="Arial"/>
        <family val="2"/>
      </rPr>
      <t xml:space="preserve"> </t>
    </r>
  </si>
  <si>
    <t>Pricing available based on individual project requirements</t>
  </si>
  <si>
    <t>US/US</t>
  </si>
  <si>
    <t>GR</t>
  </si>
  <si>
    <r>
      <t xml:space="preserve">Gracie Dune-36, Malt-45, Pearl-46, Auburn-49, Mocha-50, Palm-59, Buff-61, Steel-83, Copen-86, Cork-90, Mesa-94, Pine-95                       </t>
    </r>
    <r>
      <rPr>
        <sz val="11"/>
        <color rgb="FFEE0000"/>
        <rFont val="Arial"/>
        <family val="2"/>
      </rPr>
      <t xml:space="preserve">   
</t>
    </r>
    <r>
      <rPr>
        <sz val="11"/>
        <color theme="8"/>
        <rFont val="Arial"/>
        <family val="2"/>
      </rPr>
      <t xml:space="preserve">standard w/ sewn eyelets  </t>
    </r>
    <r>
      <rPr>
        <sz val="11"/>
        <color theme="1"/>
        <rFont val="Arial"/>
        <family val="2"/>
      </rPr>
      <t xml:space="preserve">                                                              </t>
    </r>
    <r>
      <rPr>
        <sz val="11"/>
        <color rgb="FFFF0000"/>
        <rFont val="Arial"/>
        <family val="2"/>
      </rPr>
      <t xml:space="preserve"> </t>
    </r>
  </si>
  <si>
    <t>KNE</t>
  </si>
  <si>
    <r>
      <t xml:space="preserve">Karlon Executive White-1, Beige-2                          </t>
    </r>
    <r>
      <rPr>
        <sz val="11"/>
        <color rgb="FFEE0000"/>
        <rFont val="Arial"/>
        <family val="2"/>
      </rPr>
      <t xml:space="preserve">   
</t>
    </r>
    <r>
      <rPr>
        <sz val="11"/>
        <color theme="8"/>
        <rFont val="Arial"/>
        <family val="2"/>
      </rPr>
      <t xml:space="preserve">standard w/ sewn eyelets  </t>
    </r>
    <r>
      <rPr>
        <sz val="11"/>
        <color theme="1"/>
        <rFont val="Arial"/>
        <family val="2"/>
      </rPr>
      <t xml:space="preserve">                                                              </t>
    </r>
    <r>
      <rPr>
        <sz val="11"/>
        <color rgb="FFFF0000"/>
        <rFont val="Arial"/>
        <family val="2"/>
      </rPr>
      <t xml:space="preserve"> </t>
    </r>
  </si>
  <si>
    <t>MX/MX</t>
  </si>
  <si>
    <t>MA</t>
  </si>
  <si>
    <t>PQ</t>
  </si>
  <si>
    <t>SHLD</t>
  </si>
  <si>
    <r>
      <t xml:space="preserve">Shower Shield Snow-1, Cream-4, Shadow-11, Café-57, 
Blue Moon-7, Palm-59, Doeskin-60, Buff 61              </t>
    </r>
    <r>
      <rPr>
        <sz val="11"/>
        <color rgb="FFFF0000"/>
        <rFont val="Arial"/>
        <family val="2"/>
      </rPr>
      <t xml:space="preserve">
</t>
    </r>
    <r>
      <rPr>
        <sz val="11"/>
        <color theme="8"/>
        <rFont val="Arial"/>
        <family val="2"/>
      </rPr>
      <t xml:space="preserve">standard w/ sewn eyelets                                           </t>
    </r>
  </si>
  <si>
    <t>SM</t>
  </si>
  <si>
    <r>
      <t xml:space="preserve">Shower Mist Fog-78, Halo-79, Oatmeal-80 Scone-81
</t>
    </r>
    <r>
      <rPr>
        <sz val="11"/>
        <color theme="8"/>
        <rFont val="Arial"/>
        <family val="2"/>
      </rPr>
      <t xml:space="preserve">standard w/ sewn eyelets                                           </t>
    </r>
  </si>
  <si>
    <t>SO</t>
  </si>
  <si>
    <r>
      <t xml:space="preserve">Sophia Dune-36, Pearl-46, Sand-51, Steel-83, Copen-86, Gull-87, Harvest-88, Linen-89, Cork-90, Iron-91, Surf-92, Forest-93                     </t>
    </r>
    <r>
      <rPr>
        <sz val="11"/>
        <color rgb="FFEE0000"/>
        <rFont val="Arial"/>
        <family val="2"/>
      </rPr>
      <t xml:space="preserve">   
</t>
    </r>
    <r>
      <rPr>
        <sz val="11"/>
        <color theme="8"/>
        <rFont val="Arial"/>
        <family val="2"/>
      </rPr>
      <t xml:space="preserve">standard w/ sewn eyelets  </t>
    </r>
    <r>
      <rPr>
        <sz val="11"/>
        <color theme="1"/>
        <rFont val="Arial"/>
        <family val="2"/>
      </rPr>
      <t xml:space="preserve">                                                              </t>
    </r>
    <r>
      <rPr>
        <sz val="11"/>
        <color rgb="FFFF0000"/>
        <rFont val="Arial"/>
        <family val="2"/>
      </rPr>
      <t xml:space="preserve"> </t>
    </r>
  </si>
  <si>
    <t>SUC</t>
  </si>
  <si>
    <r>
      <t xml:space="preserve">Laminated Fabric
Sure Chek White-1, Beige-2, Parchment-3, Blue-7, 
Green-8, Gray-11, Black-18, Blush-21, Jade-23, Frosty-24, Smoke-25, Fern-37    </t>
    </r>
    <r>
      <rPr>
        <sz val="11"/>
        <color theme="8"/>
        <rFont val="Arial"/>
        <family val="2"/>
      </rPr>
      <t>standard w/ metal grommets</t>
    </r>
    <r>
      <rPr>
        <sz val="11"/>
        <color theme="1"/>
        <rFont val="Arial"/>
        <family val="2"/>
      </rPr>
      <t xml:space="preserve">    </t>
    </r>
  </si>
  <si>
    <t>WE</t>
  </si>
  <si>
    <r>
      <t xml:space="preserve">Executive Waffle White-1, Beige-2                             </t>
    </r>
    <r>
      <rPr>
        <sz val="11"/>
        <color rgb="FFEE0000"/>
        <rFont val="Arial"/>
        <family val="2"/>
      </rPr>
      <t xml:space="preserve">
</t>
    </r>
    <r>
      <rPr>
        <sz val="11"/>
        <color theme="8"/>
        <rFont val="Arial"/>
        <family val="2"/>
      </rPr>
      <t xml:space="preserve">standard w/ metal grommets                                     </t>
    </r>
  </si>
  <si>
    <r>
      <t xml:space="preserve">Name / Color Curtain                              </t>
    </r>
    <r>
      <rPr>
        <b/>
        <sz val="10"/>
        <color rgb="FFFF0000"/>
        <rFont val="Arial"/>
        <family val="2"/>
      </rPr>
      <t xml:space="preserve">                 </t>
    </r>
  </si>
  <si>
    <r>
      <t xml:space="preserve">Price / EA
72" X 78"
</t>
    </r>
    <r>
      <rPr>
        <b/>
        <sz val="10"/>
        <color rgb="FFFF0000"/>
        <rFont val="Arial"/>
        <family val="2"/>
      </rPr>
      <t>Sold 12/CASE</t>
    </r>
  </si>
  <si>
    <r>
      <t xml:space="preserve">Price / EA
48" x 72"
</t>
    </r>
    <r>
      <rPr>
        <b/>
        <sz val="10"/>
        <color rgb="FFFF0000"/>
        <rFont val="Arial"/>
        <family val="2"/>
      </rPr>
      <t>Sold 18/CASE</t>
    </r>
  </si>
  <si>
    <t>CTY-WAFFA</t>
  </si>
  <si>
    <r>
      <t xml:space="preserve">CTY Waffle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White with 10.5" window</t>
    </r>
  </si>
  <si>
    <t>CTY-WAFF78</t>
  </si>
  <si>
    <t>FFI-WAF11A</t>
  </si>
  <si>
    <r>
      <t xml:space="preserve">Luxor Waffle </t>
    </r>
    <r>
      <rPr>
        <b/>
        <sz val="11"/>
        <color rgb="FF00B050"/>
        <rFont val="Arial"/>
        <family val="2"/>
      </rPr>
      <t>(Green)</t>
    </r>
    <r>
      <rPr>
        <b/>
        <sz val="11"/>
        <color rgb="FF008080"/>
        <rFont val="Arial"/>
        <family val="2"/>
      </rPr>
      <t xml:space="preserve"> </t>
    </r>
    <r>
      <rPr>
        <sz val="11"/>
        <color theme="1"/>
        <rFont val="Arial"/>
        <family val="2"/>
      </rPr>
      <t>Eco-friendly White with 10.5" window</t>
    </r>
  </si>
  <si>
    <t>FFI-WAF1178</t>
  </si>
  <si>
    <r>
      <t xml:space="preserve">Luxor Waffle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White with 10.5" window</t>
    </r>
  </si>
  <si>
    <t>G-WSA</t>
  </si>
  <si>
    <r>
      <rPr>
        <sz val="11"/>
        <rFont val="Arial"/>
        <family val="2"/>
      </rPr>
      <t>Supreme Waffle</t>
    </r>
    <r>
      <rPr>
        <sz val="11"/>
        <color rgb="FF00B050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White-1 (no window)</t>
    </r>
  </si>
  <si>
    <t>G-WS78</t>
  </si>
  <si>
    <t>WS</t>
  </si>
  <si>
    <t>Supreme Waffle White-1</t>
  </si>
  <si>
    <t>G-SHS-URA</t>
  </si>
  <si>
    <r>
      <t xml:space="preserve">Urban Waffle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White with 10.5" window</t>
    </r>
  </si>
  <si>
    <t>G-SHS-UR7278</t>
  </si>
  <si>
    <t>G-URA</t>
  </si>
  <si>
    <r>
      <t xml:space="preserve">Urban Waffle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White (no window)</t>
    </r>
  </si>
  <si>
    <t>G-UR78</t>
  </si>
  <si>
    <t>UR</t>
  </si>
  <si>
    <t>Urban Waffle White-1</t>
  </si>
  <si>
    <t>Vinyl shower curtains listed below are manufactured with metal grommets in heading</t>
  </si>
  <si>
    <t>10 Gauge Vinyl</t>
  </si>
  <si>
    <t>SS</t>
  </si>
  <si>
    <t xml:space="preserve">San Suede White-1, Beige-2, Blue-7, Green-8, Pink-9, 
Champagne-12, Navy-17                                         </t>
  </si>
  <si>
    <t>8 Gauge Vinyl</t>
  </si>
  <si>
    <t>FTCNAA</t>
  </si>
  <si>
    <t xml:space="preserve">Forester White-1                                                         </t>
  </si>
  <si>
    <t>FT</t>
  </si>
  <si>
    <t xml:space="preserve">Forester White-1, Green-8                                        </t>
  </si>
  <si>
    <t>SCCNAA</t>
  </si>
  <si>
    <t xml:space="preserve">San Crepe White-1                                                   </t>
  </si>
  <si>
    <t>SC</t>
  </si>
  <si>
    <t xml:space="preserve">San Crepe White-1, Beige-2, Frosty-24                     </t>
  </si>
  <si>
    <t>SW</t>
  </si>
  <si>
    <t xml:space="preserve">Swirl White-1                                                              </t>
  </si>
  <si>
    <t>PVA BM</t>
  </si>
  <si>
    <r>
      <t xml:space="preserve">Peva White-1, Frosty-24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
</t>
    </r>
    <r>
      <rPr>
        <b/>
        <sz val="11"/>
        <color theme="1"/>
        <rFont val="Arial"/>
        <family val="2"/>
      </rPr>
      <t>w/ bottom magnets</t>
    </r>
    <r>
      <rPr>
        <sz val="11"/>
        <color theme="1"/>
        <rFont val="Arial"/>
        <family val="2"/>
      </rPr>
      <t xml:space="preserve">                                   </t>
    </r>
    <r>
      <rPr>
        <sz val="11"/>
        <color rgb="FFEE0000"/>
        <rFont val="Arial"/>
        <family val="2"/>
      </rPr>
      <t xml:space="preserve">                </t>
    </r>
  </si>
  <si>
    <t xml:space="preserve"> FR701 rated - 8 Gauge Vinyl</t>
  </si>
  <si>
    <t>RG</t>
  </si>
  <si>
    <t xml:space="preserve">Regency White-1, Beige                                             </t>
  </si>
  <si>
    <t>US//MX</t>
  </si>
  <si>
    <t>SCE</t>
  </si>
  <si>
    <t xml:space="preserve">San Crepe Executive White-1, Beige                        </t>
  </si>
  <si>
    <t xml:space="preserve">San Crepe Executive Frosty-24                                         </t>
  </si>
  <si>
    <t>7 Gauge Vinyl</t>
  </si>
  <si>
    <t>ST</t>
  </si>
  <si>
    <t xml:space="preserve">See thru Polished Clear-12                                        </t>
  </si>
  <si>
    <t>6 Gauge Vinyl</t>
  </si>
  <si>
    <t>PF7272</t>
  </si>
  <si>
    <r>
      <t xml:space="preserve">P Free Frosty-24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                     </t>
    </r>
  </si>
  <si>
    <t>PF7278</t>
  </si>
  <si>
    <r>
      <t xml:space="preserve">P Free Frosty-24 </t>
    </r>
    <r>
      <rPr>
        <b/>
        <sz val="11"/>
        <color rgb="FF00B050"/>
        <rFont val="Arial"/>
        <family val="2"/>
      </rPr>
      <t>(Green)</t>
    </r>
    <r>
      <rPr>
        <sz val="11"/>
        <color theme="1"/>
        <rFont val="Arial"/>
        <family val="2"/>
      </rPr>
      <t xml:space="preserve"> Eco-friendly                     </t>
    </r>
  </si>
  <si>
    <t>VTCNAA</t>
  </si>
  <si>
    <t>VT</t>
  </si>
  <si>
    <t xml:space="preserve">Vintaff White-1, Beige-2, Blue-7, Green-8, Frosty-24 </t>
  </si>
  <si>
    <t>5 Gauge Vinyl</t>
  </si>
  <si>
    <t>VSCNAA BM</t>
  </si>
  <si>
    <r>
      <t xml:space="preserve">Vinsoft White-1, Frosty-24 </t>
    </r>
    <r>
      <rPr>
        <b/>
        <sz val="11"/>
        <rFont val="Arial"/>
        <family val="2"/>
      </rPr>
      <t xml:space="preserve">w/ bottom mags              </t>
    </r>
  </si>
  <si>
    <t>4 Gauge Vinyl</t>
  </si>
  <si>
    <t>VLCNAA</t>
  </si>
  <si>
    <r>
      <t>Vinyl Liner White-1, Beige-2</t>
    </r>
    <r>
      <rPr>
        <sz val="10"/>
        <rFont val="Arial"/>
        <family val="2"/>
      </rPr>
      <t xml:space="preserve"> </t>
    </r>
    <r>
      <rPr>
        <b/>
        <sz val="9"/>
        <color theme="1"/>
        <rFont val="Arial"/>
        <family val="2"/>
      </rPr>
      <t xml:space="preserve">(Packed 24/case)                </t>
    </r>
  </si>
  <si>
    <t>3 Gauge Vinyl</t>
  </si>
  <si>
    <t>VL3AA</t>
  </si>
  <si>
    <r>
      <t xml:space="preserve">Vinyl Liner White-1 </t>
    </r>
    <r>
      <rPr>
        <b/>
        <sz val="9"/>
        <color theme="1"/>
        <rFont val="Arial"/>
        <family val="2"/>
      </rPr>
      <t xml:space="preserve">(Packed 24/case)                                     </t>
    </r>
  </si>
  <si>
    <t>F.O.B. Kartri Warehouse</t>
  </si>
  <si>
    <r>
      <t xml:space="preserve">
</t>
    </r>
    <r>
      <rPr>
        <b/>
        <sz val="10"/>
        <color rgb="FFFF0000"/>
        <rFont val="Arial"/>
        <family val="2"/>
      </rPr>
      <t>34" X 72"</t>
    </r>
    <r>
      <rPr>
        <b/>
        <sz val="10"/>
        <color theme="3"/>
        <rFont val="Arial"/>
        <family val="2"/>
      </rPr>
      <t xml:space="preserve">
</t>
    </r>
  </si>
  <si>
    <t>STOCKED                        CURTAIN</t>
  </si>
  <si>
    <t>Stocked Hang2it</t>
  </si>
  <si>
    <t>Deluxe Waffle</t>
  </si>
  <si>
    <t>Size</t>
  </si>
  <si>
    <t>Color Curtain / Buckle</t>
  </si>
  <si>
    <t>Details</t>
  </si>
  <si>
    <t>Price /EA</t>
  </si>
  <si>
    <t>Case Price</t>
  </si>
  <si>
    <t>Case Pk</t>
  </si>
  <si>
    <t>EZ-DW74-1CWSL</t>
  </si>
  <si>
    <t>72"W X 74"L</t>
  </si>
  <si>
    <t>WHITE / CHROME</t>
  </si>
  <si>
    <t>WINDOW AND SNAP LINER</t>
  </si>
  <si>
    <t>/Case</t>
  </si>
  <si>
    <t>EZ-DW77-1CWSL</t>
  </si>
  <si>
    <t>72"W X 77"L</t>
  </si>
  <si>
    <t>EZ-DW80-1CWSL</t>
  </si>
  <si>
    <t>72"W X 80"L</t>
  </si>
  <si>
    <t>Replacement Liner</t>
  </si>
  <si>
    <t>Custom Window 10.5" in Height Specific Liners Listed Below</t>
  </si>
  <si>
    <t>EZ-RL1-DW74</t>
  </si>
  <si>
    <t>70"W X 59"L</t>
  </si>
  <si>
    <t>WHITE</t>
  </si>
  <si>
    <t>FITS 74"L 10.5" WINDOW</t>
  </si>
  <si>
    <t>EZ-RL1-DW77</t>
  </si>
  <si>
    <t>70"W X 62"L</t>
  </si>
  <si>
    <t>FITS 77"L 10.5" WINDOW</t>
  </si>
  <si>
    <t>EZ-RL1-DW80</t>
  </si>
  <si>
    <t>70"W X 65"L</t>
  </si>
  <si>
    <t>FITS 80"L 10.5" WINDOW</t>
  </si>
  <si>
    <t>Duo Poly</t>
  </si>
  <si>
    <t xml:space="preserve">Price </t>
  </si>
  <si>
    <t>EZ-DUO74-1C-WSLN</t>
  </si>
  <si>
    <t>EZ-DUO77-1C-WSL</t>
  </si>
  <si>
    <t>EZ-DUO74-1-WSL</t>
  </si>
  <si>
    <t>WHITE / WHITE</t>
  </si>
  <si>
    <t>EZ-DUO77-1-WSL</t>
  </si>
  <si>
    <t xml:space="preserve">Standard Size Window Curtains </t>
  </si>
  <si>
    <t>EZ-RL1-74</t>
  </si>
  <si>
    <t>70"W X 54"L</t>
  </si>
  <si>
    <t>FITS 74"L WINDOW</t>
  </si>
  <si>
    <t>EZ-RL1-77</t>
  </si>
  <si>
    <t>70"W X 57"L</t>
  </si>
  <si>
    <t>FITS 77"L WINDOW</t>
  </si>
  <si>
    <t>Dynasty (Made on Demand sizes available)</t>
  </si>
  <si>
    <t>EZ-DYWB74-1</t>
  </si>
  <si>
    <t>PLAIN</t>
  </si>
  <si>
    <t>EZ-DYWB74-1-W</t>
  </si>
  <si>
    <t>WINDOW</t>
  </si>
  <si>
    <t>EZ-DYBB74-2-W</t>
  </si>
  <si>
    <t>BEIGE / BEIGE</t>
  </si>
  <si>
    <t>EZ-DY74-1WSL</t>
  </si>
  <si>
    <t>EZ-DYWB77-1-WSLN</t>
  </si>
  <si>
    <t>EZ-DYCHR77-1-WSLN</t>
  </si>
  <si>
    <t>EZ-DY80-1WSL</t>
  </si>
  <si>
    <t>EZ-RL1-80</t>
  </si>
  <si>
    <t>70"W X 60"L</t>
  </si>
  <si>
    <t>FITS 80"L WINDOW</t>
  </si>
  <si>
    <t>Empire Waffle (Made on Demand sizes available)</t>
  </si>
  <si>
    <t>EZ-EP74-1-SLN</t>
  </si>
  <si>
    <t>SNAP LINER</t>
  </si>
  <si>
    <t>EZ-EP77-1-SLN</t>
  </si>
  <si>
    <t>EZ-EP74-2-SLN</t>
  </si>
  <si>
    <t>EZ-EP74-1-C-WSLN</t>
  </si>
  <si>
    <t>EZ-EP77-1-C-WSLN</t>
  </si>
  <si>
    <t>EZ-EP74-1-W-WSLN</t>
  </si>
  <si>
    <t>EZ-EP77-1-W-WSLN</t>
  </si>
  <si>
    <t>EZ-RL1-H74</t>
  </si>
  <si>
    <t>70"W X 69"L</t>
  </si>
  <si>
    <t>FITS 74"L NO VIEW</t>
  </si>
  <si>
    <t>EZ-RL2-H74</t>
  </si>
  <si>
    <t>BEIGE</t>
  </si>
  <si>
    <t>EZ-RL1-H77</t>
  </si>
  <si>
    <t>70"W X 72"L</t>
  </si>
  <si>
    <t>FITS 77"L NO VIEW</t>
  </si>
  <si>
    <t>Herringbone</t>
  </si>
  <si>
    <t>E2Z-HB1-74-WSL</t>
  </si>
  <si>
    <t>E2Z-HB1-77-WSL</t>
  </si>
  <si>
    <t>Karlon Poly (Made on Demand sizes available)</t>
  </si>
  <si>
    <t>EZ-150PA-1</t>
  </si>
  <si>
    <t>EZ-KN77-1W</t>
  </si>
  <si>
    <t>Luxor Waffle</t>
  </si>
  <si>
    <t>EZ-LWA-1C-WSL</t>
  </si>
  <si>
    <t>EZ-LW80-1C-WSL</t>
  </si>
  <si>
    <t>Matt-Satin</t>
  </si>
  <si>
    <t>EZ-MS74-S187B-WSLN</t>
  </si>
  <si>
    <t>SAND-BLUE / CHROME</t>
  </si>
  <si>
    <t>EZ-MS74-SB-WSLN</t>
  </si>
  <si>
    <t>SAND-BROWN / CHROME</t>
  </si>
  <si>
    <t>EZ-MS77-SB-WSLN</t>
  </si>
  <si>
    <t>EZ-MS74-WB-WSLN</t>
  </si>
  <si>
    <t>WHITE-BROWN/  CHROME</t>
  </si>
  <si>
    <t>EZ-MS77-WB-WSLN</t>
  </si>
  <si>
    <t>EZ-MS74-WBL-WSLN</t>
  </si>
  <si>
    <t>WHITE-BLACK / CHROME</t>
  </si>
  <si>
    <t>EZ-MS77-WBL-WSLN</t>
  </si>
  <si>
    <t>EZ-MS74-WW-1WSLN</t>
  </si>
  <si>
    <t>WHITE-WHITE / CHROME</t>
  </si>
  <si>
    <t>EZ-MS77-WW-1WSLN</t>
  </si>
  <si>
    <t>EZ-RL2-74</t>
  </si>
  <si>
    <t>EZ-RL2-77</t>
  </si>
  <si>
    <t>Millennium (Made on Demand sizes available)</t>
  </si>
  <si>
    <t>E2Z-ML74-1WSLN</t>
  </si>
  <si>
    <t>E2Z-ML77-1WSLN</t>
  </si>
  <si>
    <t>Moire</t>
  </si>
  <si>
    <t>EZ-MOREA-1</t>
  </si>
  <si>
    <t>EZ-MOREA-1-WSLN</t>
  </si>
  <si>
    <t>EZ-MORE77-1-W</t>
  </si>
  <si>
    <t>Nylon (Made on Demand sizes available)</t>
  </si>
  <si>
    <t>EZ-NYA-1</t>
  </si>
  <si>
    <t>Poly Dot</t>
  </si>
  <si>
    <t>EZ-W-PD74-1</t>
  </si>
  <si>
    <t>EZ-W-PD77-1</t>
  </si>
  <si>
    <t>EZ-REPPD74-1</t>
  </si>
  <si>
    <t>ANGLED</t>
  </si>
  <si>
    <t>FITS POLY DOT ONLY</t>
  </si>
  <si>
    <t>EZ-REPPD77-1</t>
  </si>
  <si>
    <t>Poly 300</t>
  </si>
  <si>
    <t>EZ-300PA-1</t>
  </si>
  <si>
    <t>EZ-300PA-1W</t>
  </si>
  <si>
    <t>EZ-300P77-1</t>
  </si>
  <si>
    <t>EZ-300P77-2</t>
  </si>
  <si>
    <t>EZ-300P77-1W</t>
  </si>
  <si>
    <t>Stardust</t>
  </si>
  <si>
    <t>EZ-STDUA-1</t>
  </si>
  <si>
    <t>EZ-STDUA-2</t>
  </si>
  <si>
    <t>EZ-STDUA-2WSL</t>
  </si>
  <si>
    <t>Urban Waffle</t>
  </si>
  <si>
    <t>EZ-SHSA-1WSL</t>
  </si>
  <si>
    <t>EZ-SHS80-1WSL</t>
  </si>
  <si>
    <t>V8</t>
  </si>
  <si>
    <t>EZ-V8-1</t>
  </si>
  <si>
    <t>EZ-V8-2</t>
  </si>
  <si>
    <t>EZ-V87177-1</t>
  </si>
  <si>
    <t>V8-Linen Embossed</t>
  </si>
  <si>
    <t>EZ-V877-11W</t>
  </si>
  <si>
    <t>GRAY / GRAY</t>
  </si>
  <si>
    <t>Vision Check</t>
  </si>
  <si>
    <t>EZ-VC77-1-WSLN</t>
  </si>
  <si>
    <t>Replacement Liners</t>
  </si>
  <si>
    <t xml:space="preserve">Standard Size No Window Curtains </t>
  </si>
  <si>
    <t>CURTAINS WITH SNAP LINERS HAVE BOTTOM MAGNETS ON THE LINER
CURTAINS WITHOUT SNAP LINERS HAVE BOTTOM MAGNETS ON THE CURTAIN</t>
  </si>
  <si>
    <t>HARDWARE and ACCESSORIES</t>
  </si>
  <si>
    <t>Hang Shower Curtain</t>
  </si>
  <si>
    <t>Shower Curtain Accessories/Hardware</t>
  </si>
  <si>
    <t>Shower Curtain Hooks</t>
  </si>
  <si>
    <t>Description</t>
  </si>
  <si>
    <t>Price / DZ</t>
  </si>
  <si>
    <t>KA412R</t>
  </si>
  <si>
    <t>Chrome plated steel open end snap fit w/ 5 ball roller hooks</t>
  </si>
  <si>
    <t>KASS151</t>
  </si>
  <si>
    <t>Stainless steel four ABS roller pin nickel plated hooks</t>
  </si>
  <si>
    <t>KASS256</t>
  </si>
  <si>
    <t>Stainless steel five ABS roller pin nickel plated hooks</t>
  </si>
  <si>
    <t>KA2000</t>
  </si>
  <si>
    <t>Chrome Pin Hooks</t>
  </si>
  <si>
    <t>KA255</t>
  </si>
  <si>
    <t>Chrome Pin Hooks - Large</t>
  </si>
  <si>
    <t>KA711</t>
  </si>
  <si>
    <t>Plastic snap teardrop shape hooks White-1 Beige-2 Clear-13</t>
  </si>
  <si>
    <t>KA5000</t>
  </si>
  <si>
    <t>Plastic open end hooks White-1 Beige-2 Clear-13</t>
  </si>
  <si>
    <t>KA9100</t>
  </si>
  <si>
    <t>Plastic round side slide hooks White-1 Beige-2 Clear-13</t>
  </si>
  <si>
    <t>KA3000</t>
  </si>
  <si>
    <t>Plastic double open ends hooks White-1 Beige-2 Clear-13</t>
  </si>
  <si>
    <t>Shower Rods / Seats</t>
  </si>
  <si>
    <t>Price / EACH</t>
  </si>
  <si>
    <t>CRUS60-BS</t>
  </si>
  <si>
    <t>60" Bright Stainless Steel curved shower rod with flanges included. USA Made
(Minimum Purchase 3 each)</t>
  </si>
  <si>
    <t>CRUS60-SS</t>
  </si>
  <si>
    <t>60" Satin Stainless Steel curved shower rod with flanges included. USA Made
(Minimum purchase 3 each)</t>
  </si>
  <si>
    <t>CR570-36</t>
  </si>
  <si>
    <t>Bright Stainless Steel Rod 36" wide (Sold in cs of 20 ea) - flanges sold separately</t>
  </si>
  <si>
    <t>CR570-36SS</t>
  </si>
  <si>
    <t>Satin Stainless Steel Rod 36" wide (Sold in cs of 20 ea) - flanges sold separately</t>
  </si>
  <si>
    <t>CR570-48</t>
  </si>
  <si>
    <t>Bright Stainless Steel Rod 48" wide (Sold in cs of 10 ea) - flanges sold separately</t>
  </si>
  <si>
    <t>CR570-48SS</t>
  </si>
  <si>
    <t>Satin Stainless Steel Rod 48" wide (Sold in cs of 10 ea) - flanges sold separately</t>
  </si>
  <si>
    <t>CR570-60</t>
  </si>
  <si>
    <t>Bright Stainless Steel Rod 60" wide (Sold in cs of 10 ea) - flanges sold separately</t>
  </si>
  <si>
    <t>CR570-60SS</t>
  </si>
  <si>
    <t>Satin Stainless Steel Rod 60" wide (Sold in cs of 10 ea) - flanges sold separately</t>
  </si>
  <si>
    <t>CR570-72</t>
  </si>
  <si>
    <t>Bright Stainless Steel Rod 72" wide (Sold in cs of 10 ea) - flanges sold separately</t>
  </si>
  <si>
    <t>CR570-72SS</t>
  </si>
  <si>
    <t>Satin Stainless Steel Rod 72" wide (Sold in cs of 10 ea) - flanges sold separately</t>
  </si>
  <si>
    <t>CR570-84</t>
  </si>
  <si>
    <t>Bright Stainless Steel Rod 84" wide (Sold in cs of 10 ea) - flanges sold separately</t>
  </si>
  <si>
    <t>CR570-84SS</t>
  </si>
  <si>
    <t>Satin Stainless Steel Rod 84" wide (Sold in cs of 10 ea) - flanges sold separately</t>
  </si>
  <si>
    <t>FLANGESBA-SS</t>
  </si>
  <si>
    <t>Exposed release away Satin finish Flanges for all straight Stainless Steel Rods</t>
  </si>
  <si>
    <t>FLANGES-BS</t>
  </si>
  <si>
    <t>Exposed Flanges for all straight Bright Stainless Steel Rods</t>
  </si>
  <si>
    <t>$13.00 PAIR</t>
  </si>
  <si>
    <t>FLANGES-SS</t>
  </si>
  <si>
    <t>Exposed Flanges for all straight Satin Stainless Steel Rods</t>
  </si>
  <si>
    <t>TR2440-1</t>
  </si>
  <si>
    <t>TR4272-1</t>
  </si>
  <si>
    <t>FRSS3223</t>
  </si>
  <si>
    <r>
      <t xml:space="preserve">Folding L- shape </t>
    </r>
    <r>
      <rPr>
        <b/>
        <u/>
        <sz val="10"/>
        <rFont val="Arial"/>
        <family val="2"/>
      </rPr>
      <t>reversible</t>
    </r>
    <r>
      <rPr>
        <sz val="10"/>
        <rFont val="Arial"/>
        <family val="2"/>
      </rPr>
      <t xml:space="preserve"> shower seat 32"W X 23"D White-1, Ivory-41, 
Woodgrain-WG</t>
    </r>
  </si>
  <si>
    <t>CALL FOR QUOTE</t>
  </si>
  <si>
    <t>FSS1815</t>
  </si>
  <si>
    <t>Folding shower seat 18"W X 16"D White-1, Ivory-41, Woodgrain-WG</t>
  </si>
  <si>
    <t>FSS3222</t>
  </si>
  <si>
    <t>Folding shower seat 32"W X 22.5"D White-1, Ivory-41, Woodgrain-WG</t>
  </si>
  <si>
    <t>Bathroom Accessories</t>
  </si>
  <si>
    <t>Price</t>
  </si>
  <si>
    <t>DKS2003</t>
  </si>
  <si>
    <t>Door knob stopper Black-18 (Packed 6/case)</t>
  </si>
  <si>
    <t>CALL</t>
  </si>
  <si>
    <t>BMT06</t>
  </si>
  <si>
    <t xml:space="preserve">Rubber Bath Mat 13 1/2"W X 30"L w/ breathable openings White-1 Beige-2 (Packed &amp; Sold 12/case) </t>
  </si>
  <si>
    <t>$7.75 EA / $93.00 CS</t>
  </si>
  <si>
    <t>SIG-HD</t>
  </si>
  <si>
    <t xml:space="preserve">Signature 10"W X 12"L Hair Dryer bag inside tie to one end 
White-1 Black-18 (Packed &amp; Sold 24/case) </t>
  </si>
  <si>
    <t>$3.50 EA / $84.00 CS</t>
  </si>
  <si>
    <t>WSBAG</t>
  </si>
  <si>
    <t xml:space="preserve">Waffle Supreme 10"W X 12"L Hair Dryer bag w/ waffle drawstring White-1, 
Beige-2 (Packed &amp; Sold 12/case)  </t>
  </si>
  <si>
    <t>$3.60 EA / $43.20 CS</t>
  </si>
  <si>
    <t>Healthcare Track Hardware</t>
  </si>
  <si>
    <t>Name / Description</t>
  </si>
  <si>
    <t>Price / EA</t>
  </si>
  <si>
    <t>MVT-1</t>
  </si>
  <si>
    <t>Velcro Safety Tabs 4" x 3/4" white</t>
  </si>
  <si>
    <t>CC-CARRIER100</t>
  </si>
  <si>
    <t>Roller carriers to fit cubicle CC-TRACK system</t>
  </si>
  <si>
    <t>CC-CARRIER</t>
  </si>
  <si>
    <t>Spool carriers to fit cubicle CC-TRACK system</t>
  </si>
  <si>
    <t>CC-MCARRIER</t>
  </si>
  <si>
    <t>Spool mini carriers to fit cubicle CC-TRACK system - NO CHAIN</t>
  </si>
  <si>
    <t>FOR INFORMATION ON CUBICLE TRACKS, PLEASE CONTACT SALES REP FOR FORMAL QUOTE</t>
  </si>
  <si>
    <t>TOP OF THE BED</t>
  </si>
  <si>
    <t xml:space="preserve">       TOP OF THE BED</t>
  </si>
  <si>
    <t>Coverlet</t>
  </si>
  <si>
    <t>Name / Color</t>
  </si>
  <si>
    <t>VH</t>
  </si>
  <si>
    <t>MADE TO ORDER</t>
  </si>
  <si>
    <r>
      <t xml:space="preserve">Valhalla </t>
    </r>
    <r>
      <rPr>
        <b/>
        <sz val="10"/>
        <rFont val="Arial"/>
        <family val="2"/>
      </rPr>
      <t>FR701</t>
    </r>
    <r>
      <rPr>
        <sz val="10"/>
        <rFont val="Arial"/>
        <family val="2"/>
      </rPr>
      <t xml:space="preserve"> Auburn-49, Buff-61, Copen-86,
Cork-90, Dune-36, Malt-45, Mesa-94, Mocha-50, 
Palm-59, Pearl-46, Pine-95, Steel-83</t>
    </r>
  </si>
  <si>
    <t>MC-K</t>
  </si>
  <si>
    <t>112" X 98"</t>
  </si>
  <si>
    <t>Metro Coverlet King White-1</t>
  </si>
  <si>
    <t>MC-Q</t>
  </si>
  <si>
    <t>96" X 98"</t>
  </si>
  <si>
    <t>Metro Coverlet Queen White-1</t>
  </si>
  <si>
    <t>MC-D</t>
  </si>
  <si>
    <t>90" X 98"</t>
  </si>
  <si>
    <t>Metro Coverlet Double White-1</t>
  </si>
  <si>
    <t>QIMPBK</t>
  </si>
  <si>
    <t>Quilted Breezes Coverlet King White-1</t>
  </si>
  <si>
    <t>QIMPBQ</t>
  </si>
  <si>
    <t>Quilted Breezes Coverlet Queen White-1</t>
  </si>
  <si>
    <t>QIMPBD</t>
  </si>
  <si>
    <t>Quilted Breezes Coverlet Double White-1</t>
  </si>
  <si>
    <t>QIMPBT</t>
  </si>
  <si>
    <t>74" X 98"</t>
  </si>
  <si>
    <t>Quilted Breezes Coverlet Twin White-1</t>
  </si>
  <si>
    <t>QIMPBPS</t>
  </si>
  <si>
    <t>20" X 26"</t>
  </si>
  <si>
    <t>Quilted Breezes Pillow Sham Standard White-1</t>
  </si>
  <si>
    <t>QIMPDDK</t>
  </si>
  <si>
    <t xml:space="preserve">Quilted Double Diamond Coverlet King White-1 </t>
  </si>
  <si>
    <t>QIMPDDQ</t>
  </si>
  <si>
    <t>Quilted Double Diamond Coverlet Queen White-1</t>
  </si>
  <si>
    <t>QIMPDDD</t>
  </si>
  <si>
    <t>Quilted Double Diamond Coverlet Double White-1</t>
  </si>
  <si>
    <t>QIMPDDT</t>
  </si>
  <si>
    <t>Quilted Double Diamond Coverlet Twin White-1</t>
  </si>
  <si>
    <t>SA</t>
  </si>
  <si>
    <r>
      <t xml:space="preserve">Sapphire </t>
    </r>
    <r>
      <rPr>
        <b/>
        <sz val="10"/>
        <color theme="1"/>
        <rFont val="Arial"/>
        <family val="2"/>
      </rPr>
      <t>**</t>
    </r>
    <r>
      <rPr>
        <sz val="10"/>
        <rFont val="Arial"/>
        <family val="2"/>
      </rPr>
      <t xml:space="preserve">  </t>
    </r>
    <r>
      <rPr>
        <b/>
        <sz val="10"/>
        <rFont val="Arial"/>
        <family val="2"/>
      </rPr>
      <t>FR701</t>
    </r>
    <r>
      <rPr>
        <sz val="10"/>
        <rFont val="Arial"/>
        <family val="2"/>
      </rPr>
      <t xml:space="preserve"> Brick-101, Chocolate-102, 
Fresh Leaf-103, Gull-87, Harvest-88, Iris-104, Pearl-46, Salmon-105, Sand-51, Taupe-82, Teal-42, White-1</t>
    </r>
  </si>
  <si>
    <t>URBWA-K</t>
  </si>
  <si>
    <t>105" X 95"</t>
  </si>
  <si>
    <t xml:space="preserve">Urban Coverlet King White-1         </t>
  </si>
  <si>
    <t>URBWA-Q</t>
  </si>
  <si>
    <t>90" X 95"</t>
  </si>
  <si>
    <t>Urban Coverlet Queen White-1</t>
  </si>
  <si>
    <t>URBWA-D</t>
  </si>
  <si>
    <t>85" X 90"</t>
  </si>
  <si>
    <t>Urban Coverlet Double White-1</t>
  </si>
  <si>
    <t>URBWA-T</t>
  </si>
  <si>
    <t>69" X 90"</t>
  </si>
  <si>
    <t>Urban Coverlet Twin White-1</t>
  </si>
  <si>
    <t>WASU-K</t>
  </si>
  <si>
    <t>Supreme Coverlet King White-1</t>
  </si>
  <si>
    <t>WASU-Q</t>
  </si>
  <si>
    <t>Supreme Coverlet Queen White-1</t>
  </si>
  <si>
    <t>WASU-D</t>
  </si>
  <si>
    <t>Supreme Coverlet Double White-1</t>
  </si>
  <si>
    <t>WASU-T</t>
  </si>
  <si>
    <t>Supreme Coverlet Twin White-1</t>
  </si>
  <si>
    <t>Top Sheet</t>
  </si>
  <si>
    <t>IMPNK</t>
  </si>
  <si>
    <t>Nuage Top Sheet King White-1</t>
  </si>
  <si>
    <t>IMPNQ</t>
  </si>
  <si>
    <t>Nuage Top Sheet Queen White-1</t>
  </si>
  <si>
    <t>IMPNT</t>
  </si>
  <si>
    <t>Nuage Top Sheet Twin White-1</t>
  </si>
  <si>
    <t>IMPSK</t>
  </si>
  <si>
    <t>Santorini Top Sheet King White-1</t>
  </si>
  <si>
    <t>IMPSQ</t>
  </si>
  <si>
    <t>Santorini Top Sheet Queen White-1</t>
  </si>
  <si>
    <t>IMPST</t>
  </si>
  <si>
    <t>Santorini Top Sheet Twin White-1</t>
  </si>
  <si>
    <t>IMPWK</t>
  </si>
  <si>
    <t>Wave Top Sheet King White-1</t>
  </si>
  <si>
    <t>IMPWQ</t>
  </si>
  <si>
    <t>Wave Top Sheet Queen White-1</t>
  </si>
  <si>
    <t>IMPWT</t>
  </si>
  <si>
    <t>Wave Top Sheet Twin White-1</t>
  </si>
  <si>
    <t>NOC-K-1</t>
  </si>
  <si>
    <t>108" X 110"</t>
  </si>
  <si>
    <t>Nocturne Blend Top Sheet King White-1</t>
  </si>
  <si>
    <t>NOC-Q-1</t>
  </si>
  <si>
    <t>93" X 110"</t>
  </si>
  <si>
    <t>Nocturne Blend Top Sheet Queen White-1</t>
  </si>
  <si>
    <t>NOC-F-1</t>
  </si>
  <si>
    <t>85" X 110"</t>
  </si>
  <si>
    <t>Nocturne Blend Top Sheet Full White-1</t>
  </si>
  <si>
    <t>NOC-T-1</t>
  </si>
  <si>
    <t>72" X 110"</t>
  </si>
  <si>
    <t>Nocturne Blend Top Sheet Twin White-1</t>
  </si>
  <si>
    <t>Mattress Covers</t>
  </si>
  <si>
    <t>Name / Description   CHINA</t>
  </si>
  <si>
    <t>VMC3G-K-1</t>
  </si>
  <si>
    <t>King</t>
  </si>
  <si>
    <t>Mattress Encasement Vinyl 3 Gauge 78x80x12 White</t>
  </si>
  <si>
    <t>VMC3G-Q-1</t>
  </si>
  <si>
    <t>Queen</t>
  </si>
  <si>
    <t>Mattress Encasement Vinyl 3 Gauge 60x80x12 White</t>
  </si>
  <si>
    <t>VMC3G-FL-1</t>
  </si>
  <si>
    <t>Full XLong</t>
  </si>
  <si>
    <t>Mattress Encasement Vinyl 3 Gauge 54x80x12 White</t>
  </si>
  <si>
    <t>MP30744-1</t>
  </si>
  <si>
    <t>30x74x4</t>
  </si>
  <si>
    <t>Mattress Protector Laminated w/ PU Membrane White</t>
  </si>
  <si>
    <t>MP30745-1</t>
  </si>
  <si>
    <t>30x74x5</t>
  </si>
  <si>
    <t>MP30746-1</t>
  </si>
  <si>
    <t>30x74x6</t>
  </si>
  <si>
    <t>MP36744-1</t>
  </si>
  <si>
    <t>36x74x4</t>
  </si>
  <si>
    <t>MP36745-1</t>
  </si>
  <si>
    <t>36x74x5</t>
  </si>
  <si>
    <t>MP36746-1</t>
  </si>
  <si>
    <t>36x74x6</t>
  </si>
  <si>
    <t>** (MOQ) Minimum Order Quantity requirement</t>
  </si>
  <si>
    <t>Price List  March 2026</t>
  </si>
  <si>
    <t>SPA PRODUCTS</t>
  </si>
  <si>
    <t>Effective Thru February 2027</t>
  </si>
  <si>
    <t>Spa Sheets/Blankets</t>
  </si>
  <si>
    <t>Price/EA</t>
  </si>
  <si>
    <t>SPA-QB6090</t>
  </si>
  <si>
    <t>60" X 90"</t>
  </si>
  <si>
    <t>Spa Quilted Blanket White-1 Cream-4</t>
  </si>
  <si>
    <t>SPA-FL6394</t>
  </si>
  <si>
    <t>63" X 94"</t>
  </si>
  <si>
    <t>Spa Flat Microfiber Sheet White-1 Cream-4</t>
  </si>
  <si>
    <t>SPA-FIT32737</t>
  </si>
  <si>
    <t>32" X 73" X 7"</t>
  </si>
  <si>
    <t>Spa Fitted Microfiber Sheet White-1 Cream-4</t>
  </si>
  <si>
    <t>SPA-CP1313</t>
  </si>
  <si>
    <t>13" X 13"</t>
  </si>
  <si>
    <t>Spa Microfiber Cradle Covers White-1 Cream-4</t>
  </si>
  <si>
    <t>Bathrobes</t>
  </si>
  <si>
    <t>KAV380</t>
  </si>
  <si>
    <t>48" L</t>
  </si>
  <si>
    <t>Kimono Velour 380 GSM OSFM White-1</t>
  </si>
  <si>
    <t>KAVSH380-1</t>
  </si>
  <si>
    <t>Shawl Velour 380 GSM OSFM White-1</t>
  </si>
  <si>
    <t>KAW250-1</t>
  </si>
  <si>
    <t>Kimono Waffle 250 GSM OSFM White-1</t>
  </si>
  <si>
    <t>KAW250-4XL-1</t>
  </si>
  <si>
    <t>55" L</t>
  </si>
  <si>
    <t>Kimono Waffle 250 GSM 4XL White-1</t>
  </si>
  <si>
    <t>BELTS-WAFFLE</t>
  </si>
  <si>
    <t>Waffle Belts White</t>
  </si>
  <si>
    <t>Slippers</t>
  </si>
  <si>
    <t>Price/PR</t>
  </si>
  <si>
    <t>SL2941</t>
  </si>
  <si>
    <t>Open toe terry 11"L slipper w/ EVA sole White-1</t>
  </si>
  <si>
    <t>SL2941-1-CT</t>
  </si>
  <si>
    <t>Closed toe terry 11"L slipper w/ EVA sole White-1</t>
  </si>
  <si>
    <t>SL2940W</t>
  </si>
  <si>
    <t>Womens large open toe terry slipper w/ TPR white sole White-1</t>
  </si>
  <si>
    <t>SL2940M</t>
  </si>
  <si>
    <t>Mens large open toe terry slipper w/ TPR white sole White-1</t>
  </si>
  <si>
    <t>SV3C5MB-1</t>
  </si>
  <si>
    <t xml:space="preserve">Closed toe terry velour 11" slipper EVA White sole in bag OSFM White-1 </t>
  </si>
  <si>
    <t>24" to 40" White adjustable rod (Sold in cases of 6 each)</t>
  </si>
  <si>
    <t>42" to 72" White adjustable rod (Sold in cases of 6 each)</t>
  </si>
  <si>
    <r>
      <t>Parquet Dune-36, Malt-45, Pearl-46, Mocha-50, Sand-51, Steel-83, Copen-86, Gull-87, Linen-89, Cork-90, 
Chestnut-134, Marsh-135, Kale-136, Moss-137, 
Heather-138</t>
    </r>
    <r>
      <rPr>
        <sz val="11"/>
        <color rgb="FFEE0000"/>
        <rFont val="Arial"/>
        <family val="2"/>
      </rPr>
      <t xml:space="preserve">
</t>
    </r>
    <r>
      <rPr>
        <sz val="11"/>
        <color theme="8"/>
        <rFont val="Arial"/>
        <family val="2"/>
      </rPr>
      <t xml:space="preserve">standard w/ sewn eyelets  </t>
    </r>
    <r>
      <rPr>
        <sz val="11"/>
        <color theme="1"/>
        <rFont val="Arial"/>
        <family val="2"/>
      </rPr>
      <t xml:space="preserve">                                                              </t>
    </r>
    <r>
      <rPr>
        <sz val="11"/>
        <color rgb="FFFF0000"/>
        <rFont val="Arial"/>
        <family val="2"/>
      </rPr>
      <t xml:space="preserve"> </t>
    </r>
  </si>
  <si>
    <t xml:space="preserve">Karlon Polyester White-1, Beige-2, Blue-7, Gray-11, 
Dusk Rose-20    </t>
  </si>
  <si>
    <t xml:space="preserve">Nylon White-1, Green-8                                         </t>
  </si>
  <si>
    <t>Dobbie Sparkle Blue-7, Jade-23, Bayberry-35</t>
  </si>
  <si>
    <t xml:space="preserve">Nylon White-1                  </t>
  </si>
  <si>
    <r>
      <t xml:space="preserve">Madeline White-1, Parchment-3, Blue-7, Peach-19, 
Claret-31, Light Sage-32, Bayberry-35, Dune-36
</t>
    </r>
    <r>
      <rPr>
        <sz val="11"/>
        <color theme="8"/>
        <rFont val="Arial"/>
        <family val="2"/>
      </rPr>
      <t>standard w/ sewn eyelets</t>
    </r>
    <r>
      <rPr>
        <sz val="11"/>
        <color theme="1"/>
        <rFont val="Arial"/>
        <family val="2"/>
      </rPr>
      <t xml:space="preserve">                                       </t>
    </r>
    <r>
      <rPr>
        <sz val="11"/>
        <color rgb="FFFF0000"/>
        <rFont val="Arial"/>
        <family val="2"/>
      </rPr>
      <t xml:space="preserve"> </t>
    </r>
  </si>
  <si>
    <t>Vintaff White-1, Beige-2</t>
  </si>
  <si>
    <t xml:space="preserve">Millennium White-1, Brown -10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</si>
</sst>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20"/>
      <color theme="4" tint="-0.249977111117893"/>
      <name val="Arial"/>
      <family val="2"/>
    </font>
    <font>
      <sz val="10"/>
      <color theme="0"/>
      <name val="Arial"/>
      <family val="2"/>
    </font>
    <font>
      <sz val="14"/>
      <color theme="0"/>
      <name val="Calibri"/>
      <family val="2"/>
      <scheme val="minor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0.5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3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00B050"/>
      <name val="Arial"/>
      <family val="2"/>
    </font>
    <font>
      <sz val="11"/>
      <color rgb="FFEE0000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b/>
      <sz val="11"/>
      <color rgb="FF008080"/>
      <name val="Arial"/>
      <family val="2"/>
    </font>
    <font>
      <sz val="11"/>
      <color rgb="FF00B050"/>
      <name val="Arial"/>
      <family val="2"/>
    </font>
    <font>
      <b/>
      <sz val="10"/>
      <color theme="1"/>
      <name val="Arial"/>
      <family val="2"/>
    </font>
    <font>
      <sz val="10.5"/>
      <color theme="1"/>
      <name val="Arial"/>
      <family val="2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6"/>
      <color theme="0"/>
      <name val="Calibri"/>
      <family val="2"/>
      <scheme val="minor"/>
    </font>
    <font>
      <b/>
      <sz val="12"/>
      <color theme="3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00B050"/>
      <name val="Arial"/>
      <family val="2"/>
    </font>
    <font>
      <sz val="12"/>
      <color theme="0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 style="thick">
        <color theme="4"/>
      </top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6" fillId="3" borderId="0" applyNumberFormat="0" applyBorder="0" applyAlignment="0" applyProtection="0"/>
    <xf numFmtId="0" fontId="12" fillId="0" borderId="1" applyNumberFormat="0" applyFill="0" applyAlignment="0" applyProtection="0"/>
    <xf numFmtId="0" fontId="14" fillId="0" borderId="3" applyNumberFormat="0" applyFill="0" applyAlignment="0" applyProtection="0"/>
    <xf numFmtId="0" fontId="3" fillId="2" borderId="0" applyNumberFormat="0" applyBorder="0" applyAlignment="0" applyProtection="0"/>
    <xf numFmtId="0" fontId="1" fillId="0" borderId="0"/>
    <xf numFmtId="0" fontId="28" fillId="0" borderId="2" applyNumberFormat="0" applyFill="0" applyAlignment="0" applyProtection="0"/>
    <xf numFmtId="0" fontId="19" fillId="0" borderId="0"/>
  </cellStyleXfs>
  <cellXfs count="214">
    <xf numFmtId="0" fontId="0" fillId="0" borderId="0" xfId="0"/>
    <xf numFmtId="0" fontId="3" fillId="0" borderId="0" xfId="2"/>
    <xf numFmtId="0" fontId="5" fillId="0" borderId="0" xfId="2" applyFont="1" applyAlignment="1">
      <alignment horizontal="center" vertical="center"/>
    </xf>
    <xf numFmtId="0" fontId="7" fillId="3" borderId="0" xfId="3" applyFont="1" applyAlignment="1">
      <alignment horizontal="center" vertical="center"/>
    </xf>
    <xf numFmtId="0" fontId="8" fillId="0" borderId="0" xfId="2" applyFont="1" applyAlignment="1">
      <alignment horizontal="center" vertical="top"/>
    </xf>
    <xf numFmtId="0" fontId="9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1" fillId="0" borderId="0" xfId="2" applyFont="1"/>
    <xf numFmtId="0" fontId="13" fillId="0" borderId="4" xfId="4" applyFont="1" applyBorder="1" applyAlignment="1">
      <alignment horizontal="center" vertical="center" shrinkToFit="1"/>
    </xf>
    <xf numFmtId="0" fontId="3" fillId="0" borderId="0" xfId="2" applyAlignment="1">
      <alignment horizontal="center"/>
    </xf>
    <xf numFmtId="0" fontId="15" fillId="0" borderId="3" xfId="5" applyFont="1" applyAlignment="1">
      <alignment horizontal="center"/>
    </xf>
    <xf numFmtId="164" fontId="15" fillId="0" borderId="3" xfId="5" applyNumberFormat="1" applyFont="1" applyAlignment="1">
      <alignment horizontal="center" wrapText="1"/>
    </xf>
    <xf numFmtId="164" fontId="15" fillId="0" borderId="3" xfId="5" applyNumberFormat="1" applyFont="1" applyAlignment="1">
      <alignment horizontal="center" vertical="center" wrapText="1"/>
    </xf>
    <xf numFmtId="0" fontId="17" fillId="0" borderId="0" xfId="6" applyFont="1" applyFill="1" applyAlignment="1">
      <alignment horizontal="left" vertical="center"/>
    </xf>
    <xf numFmtId="0" fontId="17" fillId="0" borderId="0" xfId="6" applyFont="1" applyFill="1" applyBorder="1" applyAlignment="1">
      <alignment horizontal="left" vertical="center" wrapText="1"/>
    </xf>
    <xf numFmtId="0" fontId="17" fillId="0" borderId="0" xfId="6" applyFont="1" applyFill="1" applyBorder="1" applyAlignment="1">
      <alignment horizontal="left" vertical="center"/>
    </xf>
    <xf numFmtId="164" fontId="18" fillId="0" borderId="0" xfId="6" applyNumberFormat="1" applyFont="1" applyFill="1" applyAlignment="1">
      <alignment horizontal="center" vertical="center"/>
    </xf>
    <xf numFmtId="0" fontId="3" fillId="0" borderId="0" xfId="2" applyAlignment="1">
      <alignment vertical="center"/>
    </xf>
    <xf numFmtId="0" fontId="18" fillId="0" borderId="0" xfId="6" applyFont="1" applyFill="1" applyAlignment="1">
      <alignment horizontal="left" vertical="center"/>
    </xf>
    <xf numFmtId="8" fontId="18" fillId="0" borderId="0" xfId="6" applyNumberFormat="1" applyFont="1" applyFill="1" applyAlignment="1">
      <alignment horizontal="center" vertical="center"/>
    </xf>
    <xf numFmtId="0" fontId="17" fillId="0" borderId="5" xfId="6" applyFont="1" applyFill="1" applyBorder="1" applyAlignment="1">
      <alignment horizontal="left" vertical="center"/>
    </xf>
    <xf numFmtId="164" fontId="18" fillId="0" borderId="5" xfId="6" applyNumberFormat="1" applyFont="1" applyFill="1" applyBorder="1" applyAlignment="1">
      <alignment horizontal="center" vertical="center"/>
    </xf>
    <xf numFmtId="164" fontId="17" fillId="0" borderId="0" xfId="6" applyNumberFormat="1" applyFont="1" applyFill="1" applyAlignment="1">
      <alignment horizontal="center" vertical="center"/>
    </xf>
    <xf numFmtId="0" fontId="17" fillId="0" borderId="0" xfId="6" applyFont="1" applyFill="1" applyAlignment="1">
      <alignment horizontal="center" vertical="center"/>
    </xf>
    <xf numFmtId="8" fontId="17" fillId="0" borderId="0" xfId="6" applyNumberFormat="1" applyFont="1" applyFill="1" applyAlignment="1">
      <alignment horizontal="center" vertical="center"/>
    </xf>
    <xf numFmtId="0" fontId="18" fillId="0" borderId="0" xfId="6" applyFont="1" applyFill="1" applyAlignment="1">
      <alignment horizontal="center" vertical="center"/>
    </xf>
    <xf numFmtId="0" fontId="26" fillId="0" borderId="0" xfId="2" applyFont="1" applyAlignment="1">
      <alignment horizontal="center" vertical="top"/>
    </xf>
    <xf numFmtId="0" fontId="27" fillId="0" borderId="0" xfId="2" applyFont="1"/>
    <xf numFmtId="164" fontId="15" fillId="0" borderId="6" xfId="5" applyNumberFormat="1" applyFont="1" applyBorder="1" applyAlignment="1">
      <alignment horizontal="center" wrapText="1"/>
    </xf>
    <xf numFmtId="164" fontId="15" fillId="0" borderId="0" xfId="5" applyNumberFormat="1" applyFont="1" applyBorder="1" applyAlignment="1">
      <alignment horizontal="center" wrapText="1"/>
    </xf>
    <xf numFmtId="0" fontId="28" fillId="0" borderId="7" xfId="8" applyBorder="1" applyAlignment="1">
      <alignment vertical="center"/>
    </xf>
    <xf numFmtId="164" fontId="18" fillId="0" borderId="0" xfId="6" applyNumberFormat="1" applyFont="1" applyFill="1" applyAlignment="1">
      <alignment horizontal="left" vertical="center"/>
    </xf>
    <xf numFmtId="0" fontId="3" fillId="0" borderId="0" xfId="2" applyAlignment="1">
      <alignment horizontal="left"/>
    </xf>
    <xf numFmtId="0" fontId="3" fillId="0" borderId="0" xfId="6" applyFill="1" applyAlignment="1">
      <alignment horizontal="left" vertical="top"/>
    </xf>
    <xf numFmtId="0" fontId="0" fillId="0" borderId="0" xfId="6" applyFont="1" applyFill="1" applyAlignment="1">
      <alignment horizontal="left" vertical="top"/>
    </xf>
    <xf numFmtId="164" fontId="0" fillId="0" borderId="0" xfId="6" applyNumberFormat="1" applyFont="1" applyFill="1" applyAlignment="1">
      <alignment horizontal="center" vertical="top"/>
    </xf>
    <xf numFmtId="0" fontId="28" fillId="0" borderId="2" xfId="8" applyAlignment="1">
      <alignment horizontal="center" vertical="center"/>
    </xf>
    <xf numFmtId="0" fontId="17" fillId="0" borderId="0" xfId="6" applyFont="1" applyFill="1" applyAlignment="1">
      <alignment vertical="center"/>
    </xf>
    <xf numFmtId="0" fontId="17" fillId="0" borderId="0" xfId="2" applyFont="1" applyAlignment="1">
      <alignment vertical="center"/>
    </xf>
    <xf numFmtId="0" fontId="3" fillId="0" borderId="0" xfId="6" applyFill="1" applyAlignment="1">
      <alignment vertical="top"/>
    </xf>
    <xf numFmtId="164" fontId="3" fillId="0" borderId="0" xfId="6" applyNumberFormat="1" applyFill="1" applyAlignment="1">
      <alignment horizontal="center" vertical="top"/>
    </xf>
    <xf numFmtId="0" fontId="28" fillId="0" borderId="2" xfId="8" applyAlignment="1">
      <alignment vertical="center"/>
    </xf>
    <xf numFmtId="164" fontId="18" fillId="0" borderId="0" xfId="2" applyNumberFormat="1" applyFont="1" applyAlignment="1">
      <alignment horizontal="center" vertical="center"/>
    </xf>
    <xf numFmtId="0" fontId="18" fillId="0" borderId="0" xfId="2" applyFont="1" applyAlignment="1">
      <alignment vertical="center"/>
    </xf>
    <xf numFmtId="0" fontId="28" fillId="0" borderId="2" xfId="8" applyFill="1" applyAlignment="1">
      <alignment horizontal="center" vertical="center"/>
    </xf>
    <xf numFmtId="0" fontId="28" fillId="0" borderId="2" xfId="8" applyFill="1" applyAlignment="1">
      <alignment vertical="center"/>
    </xf>
    <xf numFmtId="0" fontId="17" fillId="0" borderId="3" xfId="6" applyFont="1" applyFill="1" applyBorder="1" applyAlignment="1">
      <alignment horizontal="left" vertical="center"/>
    </xf>
    <xf numFmtId="164" fontId="18" fillId="0" borderId="3" xfId="6" applyNumberFormat="1" applyFont="1" applyFill="1" applyBorder="1" applyAlignment="1">
      <alignment horizontal="center" vertical="center"/>
    </xf>
    <xf numFmtId="0" fontId="3" fillId="0" borderId="0" xfId="6" applyFill="1" applyBorder="1" applyAlignment="1">
      <alignment horizontal="left" vertical="top"/>
    </xf>
    <xf numFmtId="164" fontId="3" fillId="0" borderId="0" xfId="6" applyNumberFormat="1" applyFill="1" applyBorder="1" applyAlignment="1">
      <alignment horizontal="center" vertical="top"/>
    </xf>
    <xf numFmtId="164" fontId="0" fillId="0" borderId="0" xfId="6" applyNumberFormat="1" applyFont="1" applyFill="1" applyBorder="1" applyAlignment="1">
      <alignment horizontal="center" vertical="top"/>
    </xf>
    <xf numFmtId="0" fontId="3" fillId="0" borderId="0" xfId="2" applyAlignment="1">
      <alignment vertical="top"/>
    </xf>
    <xf numFmtId="164" fontId="3" fillId="0" borderId="0" xfId="2" applyNumberFormat="1" applyAlignment="1">
      <alignment horizontal="center" vertical="top"/>
    </xf>
    <xf numFmtId="0" fontId="32" fillId="0" borderId="0" xfId="2" applyFont="1" applyAlignment="1">
      <alignment horizontal="center" vertical="top"/>
    </xf>
    <xf numFmtId="0" fontId="5" fillId="0" borderId="0" xfId="2" applyFont="1" applyAlignment="1">
      <alignment horizontal="center" vertical="center" wrapText="1"/>
    </xf>
    <xf numFmtId="0" fontId="33" fillId="3" borderId="0" xfId="3" applyFont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2" fillId="0" borderId="1" xfId="4" applyAlignment="1">
      <alignment vertical="top"/>
    </xf>
    <xf numFmtId="164" fontId="12" fillId="0" borderId="1" xfId="4" applyNumberFormat="1" applyAlignment="1">
      <alignment horizontal="center" vertical="top"/>
    </xf>
    <xf numFmtId="0" fontId="14" fillId="0" borderId="3" xfId="5" applyAlignment="1">
      <alignment horizontal="center" vertical="center"/>
    </xf>
    <xf numFmtId="164" fontId="14" fillId="0" borderId="3" xfId="5" applyNumberFormat="1" applyAlignment="1">
      <alignment horizontal="center" vertical="center"/>
    </xf>
    <xf numFmtId="164" fontId="14" fillId="0" borderId="9" xfId="5" applyNumberFormat="1" applyBorder="1" applyAlignment="1">
      <alignment horizontal="center"/>
    </xf>
    <xf numFmtId="0" fontId="36" fillId="0" borderId="0" xfId="2" applyFont="1" applyAlignment="1">
      <alignment vertical="top"/>
    </xf>
    <xf numFmtId="0" fontId="3" fillId="0" borderId="0" xfId="2" applyAlignment="1">
      <alignment horizontal="center" vertical="top"/>
    </xf>
    <xf numFmtId="0" fontId="36" fillId="0" borderId="0" xfId="2" applyFont="1" applyAlignment="1">
      <alignment horizontal="left" vertical="top"/>
    </xf>
    <xf numFmtId="164" fontId="19" fillId="0" borderId="0" xfId="2" applyNumberFormat="1" applyFont="1" applyAlignment="1">
      <alignment horizontal="center" vertical="top"/>
    </xf>
    <xf numFmtId="1" fontId="19" fillId="0" borderId="0" xfId="2" applyNumberFormat="1" applyFont="1" applyAlignment="1">
      <alignment horizontal="center" vertical="top"/>
    </xf>
    <xf numFmtId="164" fontId="3" fillId="0" borderId="0" xfId="2" applyNumberFormat="1" applyAlignment="1">
      <alignment horizontal="left" vertical="top"/>
    </xf>
    <xf numFmtId="0" fontId="2" fillId="0" borderId="3" xfId="1" applyBorder="1" applyAlignment="1">
      <alignment horizontal="right"/>
    </xf>
    <xf numFmtId="0" fontId="2" fillId="0" borderId="3" xfId="1" applyBorder="1" applyAlignment="1">
      <alignment vertical="top"/>
    </xf>
    <xf numFmtId="1" fontId="2" fillId="0" borderId="3" xfId="1" applyNumberFormat="1" applyBorder="1" applyAlignment="1">
      <alignment vertical="top"/>
    </xf>
    <xf numFmtId="0" fontId="2" fillId="0" borderId="0" xfId="1" applyBorder="1" applyAlignment="1">
      <alignment horizontal="center"/>
    </xf>
    <xf numFmtId="0" fontId="2" fillId="0" borderId="0" xfId="1" applyFill="1" applyBorder="1" applyAlignment="1">
      <alignment horizontal="center"/>
    </xf>
    <xf numFmtId="1" fontId="3" fillId="0" borderId="0" xfId="2" applyNumberFormat="1" applyAlignment="1">
      <alignment horizontal="center" vertical="top"/>
    </xf>
    <xf numFmtId="1" fontId="3" fillId="0" borderId="0" xfId="2" applyNumberFormat="1" applyAlignment="1">
      <alignment vertical="top"/>
    </xf>
    <xf numFmtId="1" fontId="12" fillId="0" borderId="1" xfId="4" applyNumberFormat="1" applyAlignment="1">
      <alignment horizontal="center" vertical="top"/>
    </xf>
    <xf numFmtId="1" fontId="19" fillId="0" borderId="0" xfId="2" applyNumberFormat="1" applyFont="1" applyAlignment="1">
      <alignment horizontal="right" vertical="top"/>
    </xf>
    <xf numFmtId="0" fontId="19" fillId="0" borderId="0" xfId="2" applyFont="1" applyAlignment="1">
      <alignment vertical="top"/>
    </xf>
    <xf numFmtId="0" fontId="19" fillId="0" borderId="0" xfId="2" applyFont="1" applyAlignment="1">
      <alignment horizontal="center" vertical="top"/>
    </xf>
    <xf numFmtId="1" fontId="3" fillId="0" borderId="0" xfId="2" applyNumberFormat="1" applyAlignment="1">
      <alignment horizontal="right" vertical="top"/>
    </xf>
    <xf numFmtId="164" fontId="19" fillId="0" borderId="0" xfId="2" applyNumberFormat="1" applyFont="1" applyAlignment="1">
      <alignment horizontal="left" vertical="top"/>
    </xf>
    <xf numFmtId="0" fontId="36" fillId="0" borderId="0" xfId="2" applyFont="1" applyAlignment="1">
      <alignment horizontal="center" vertical="top"/>
    </xf>
    <xf numFmtId="1" fontId="2" fillId="0" borderId="0" xfId="1" applyNumberFormat="1" applyBorder="1" applyAlignment="1">
      <alignment horizontal="center" vertical="top"/>
    </xf>
    <xf numFmtId="164" fontId="12" fillId="0" borderId="1" xfId="4" applyNumberFormat="1" applyFill="1" applyAlignment="1">
      <alignment horizontal="center" vertical="top"/>
    </xf>
    <xf numFmtId="0" fontId="35" fillId="0" borderId="3" xfId="1" applyFont="1" applyBorder="1" applyAlignment="1">
      <alignment vertical="top"/>
    </xf>
    <xf numFmtId="1" fontId="35" fillId="0" borderId="3" xfId="1" applyNumberFormat="1" applyFont="1" applyBorder="1" applyAlignment="1">
      <alignment vertical="top"/>
    </xf>
    <xf numFmtId="0" fontId="2" fillId="0" borderId="3" xfId="1" applyFill="1" applyBorder="1" applyAlignment="1">
      <alignment horizontal="right"/>
    </xf>
    <xf numFmtId="0" fontId="37" fillId="0" borderId="0" xfId="2" applyFont="1" applyAlignment="1">
      <alignment horizontal="center" vertical="center"/>
    </xf>
    <xf numFmtId="0" fontId="34" fillId="0" borderId="1" xfId="4" applyFont="1" applyAlignment="1">
      <alignment horizontal="left" vertical="center"/>
    </xf>
    <xf numFmtId="0" fontId="12" fillId="0" borderId="0" xfId="4" applyBorder="1" applyAlignment="1">
      <alignment vertical="center"/>
    </xf>
    <xf numFmtId="0" fontId="12" fillId="0" borderId="1" xfId="4" applyAlignment="1">
      <alignment horizontal="center" vertical="center"/>
    </xf>
    <xf numFmtId="0" fontId="19" fillId="0" borderId="0" xfId="6" applyFont="1" applyFill="1" applyAlignment="1">
      <alignment vertical="top"/>
    </xf>
    <xf numFmtId="164" fontId="19" fillId="0" borderId="0" xfId="6" applyNumberFormat="1" applyFont="1" applyFill="1" applyAlignment="1">
      <alignment horizontal="center" vertical="top"/>
    </xf>
    <xf numFmtId="0" fontId="19" fillId="0" borderId="0" xfId="6" applyFont="1" applyFill="1" applyAlignment="1">
      <alignment horizontal="left" vertical="top"/>
    </xf>
    <xf numFmtId="0" fontId="3" fillId="0" borderId="0" xfId="6" applyFill="1" applyAlignment="1">
      <alignment vertical="center"/>
    </xf>
    <xf numFmtId="164" fontId="19" fillId="0" borderId="0" xfId="6" applyNumberFormat="1" applyFont="1" applyFill="1" applyAlignment="1">
      <alignment horizontal="center" vertical="center"/>
    </xf>
    <xf numFmtId="0" fontId="0" fillId="0" borderId="0" xfId="6" applyFont="1" applyFill="1" applyAlignment="1">
      <alignment vertical="top"/>
    </xf>
    <xf numFmtId="164" fontId="40" fillId="0" borderId="0" xfId="6" applyNumberFormat="1" applyFont="1" applyFill="1" applyAlignment="1">
      <alignment horizontal="center" vertical="top"/>
    </xf>
    <xf numFmtId="164" fontId="19" fillId="0" borderId="0" xfId="6" applyNumberFormat="1" applyFont="1" applyFill="1" applyAlignment="1">
      <alignment horizontal="center"/>
    </xf>
    <xf numFmtId="0" fontId="12" fillId="0" borderId="1" xfId="4" applyAlignment="1">
      <alignment vertical="center"/>
    </xf>
    <xf numFmtId="0" fontId="12" fillId="0" borderId="1" xfId="4" applyAlignment="1">
      <alignment horizontal="right" vertical="center"/>
    </xf>
    <xf numFmtId="164" fontId="26" fillId="0" borderId="0" xfId="6" applyNumberFormat="1" applyFont="1" applyFill="1" applyAlignment="1">
      <alignment horizontal="center" vertical="top"/>
    </xf>
    <xf numFmtId="0" fontId="3" fillId="0" borderId="3" xfId="6" applyFill="1" applyBorder="1" applyAlignment="1">
      <alignment horizontal="left" vertical="center"/>
    </xf>
    <xf numFmtId="164" fontId="19" fillId="0" borderId="3" xfId="6" applyNumberFormat="1" applyFont="1" applyFill="1" applyBorder="1" applyAlignment="1">
      <alignment horizontal="center" vertical="center"/>
    </xf>
    <xf numFmtId="0" fontId="3" fillId="0" borderId="0" xfId="6" applyFill="1" applyBorder="1" applyAlignment="1">
      <alignment horizontal="left" vertical="top" wrapText="1"/>
    </xf>
    <xf numFmtId="0" fontId="34" fillId="0" borderId="1" xfId="4" applyFont="1" applyAlignment="1">
      <alignment horizontal="left"/>
    </xf>
    <xf numFmtId="0" fontId="12" fillId="0" borderId="1" xfId="4" applyAlignment="1"/>
    <xf numFmtId="0" fontId="41" fillId="0" borderId="0" xfId="2" applyFont="1" applyAlignment="1">
      <alignment horizontal="center" vertical="center"/>
    </xf>
    <xf numFmtId="0" fontId="34" fillId="0" borderId="1" xfId="4" applyFont="1" applyAlignment="1"/>
    <xf numFmtId="0" fontId="3" fillId="0" borderId="1" xfId="2" applyBorder="1"/>
    <xf numFmtId="1" fontId="3" fillId="0" borderId="1" xfId="2" applyNumberFormat="1" applyBorder="1" applyAlignment="1">
      <alignment horizontal="right"/>
    </xf>
    <xf numFmtId="0" fontId="19" fillId="0" borderId="0" xfId="6" applyFont="1" applyFill="1" applyAlignment="1">
      <alignment horizontal="left" vertical="center" wrapText="1"/>
    </xf>
    <xf numFmtId="0" fontId="26" fillId="0" borderId="0" xfId="6" applyFont="1" applyFill="1" applyAlignment="1">
      <alignment horizontal="center" vertical="center" wrapText="1"/>
    </xf>
    <xf numFmtId="0" fontId="19" fillId="0" borderId="0" xfId="6" applyFont="1" applyFill="1" applyAlignment="1">
      <alignment horizontal="center" vertical="center" wrapText="1"/>
    </xf>
    <xf numFmtId="0" fontId="3" fillId="0" borderId="0" xfId="6" applyFill="1" applyAlignment="1">
      <alignment horizontal="center" vertical="top"/>
    </xf>
    <xf numFmtId="1" fontId="3" fillId="0" borderId="0" xfId="6" applyNumberFormat="1" applyFill="1" applyAlignment="1">
      <alignment horizontal="right" vertical="top"/>
    </xf>
    <xf numFmtId="164" fontId="3" fillId="0" borderId="0" xfId="6" applyNumberFormat="1" applyFill="1" applyAlignment="1">
      <alignment horizontal="left" vertical="center"/>
    </xf>
    <xf numFmtId="164" fontId="3" fillId="0" borderId="0" xfId="6" applyNumberFormat="1" applyFill="1" applyAlignment="1">
      <alignment horizontal="center" vertical="center"/>
    </xf>
    <xf numFmtId="0" fontId="19" fillId="0" borderId="0" xfId="6" applyFont="1" applyFill="1" applyAlignment="1">
      <alignment horizontal="center" vertical="top"/>
    </xf>
    <xf numFmtId="1" fontId="19" fillId="0" borderId="0" xfId="6" applyNumberFormat="1" applyFont="1" applyFill="1" applyAlignment="1">
      <alignment horizontal="right" vertical="top"/>
    </xf>
    <xf numFmtId="164" fontId="19" fillId="0" borderId="0" xfId="6" applyNumberFormat="1" applyFont="1" applyFill="1" applyAlignment="1">
      <alignment horizontal="left" vertical="center"/>
    </xf>
    <xf numFmtId="0" fontId="3" fillId="0" borderId="0" xfId="6" applyFill="1" applyAlignment="1">
      <alignment horizontal="center" vertical="center"/>
    </xf>
    <xf numFmtId="1" fontId="3" fillId="0" borderId="0" xfId="6" applyNumberFormat="1" applyFill="1" applyAlignment="1">
      <alignment horizontal="right" vertical="center"/>
    </xf>
    <xf numFmtId="0" fontId="0" fillId="0" borderId="0" xfId="6" applyFont="1" applyFill="1" applyAlignment="1">
      <alignment horizontal="left" vertical="top" wrapText="1"/>
    </xf>
    <xf numFmtId="0" fontId="34" fillId="0" borderId="1" xfId="4" applyFont="1" applyAlignment="1">
      <alignment horizontal="center" vertical="top"/>
    </xf>
    <xf numFmtId="1" fontId="3" fillId="0" borderId="0" xfId="2" applyNumberFormat="1" applyAlignment="1">
      <alignment horizontal="right"/>
    </xf>
    <xf numFmtId="0" fontId="3" fillId="0" borderId="0" xfId="6" applyFill="1" applyBorder="1" applyAlignment="1">
      <alignment horizontal="center" vertical="top"/>
    </xf>
    <xf numFmtId="164" fontId="19" fillId="0" borderId="0" xfId="6" applyNumberFormat="1" applyFont="1" applyFill="1" applyBorder="1" applyAlignment="1">
      <alignment horizontal="center" vertical="top"/>
    </xf>
    <xf numFmtId="0" fontId="12" fillId="0" borderId="1" xfId="4" applyAlignment="1">
      <alignment horizontal="left"/>
    </xf>
    <xf numFmtId="3" fontId="19" fillId="0" borderId="0" xfId="2" applyNumberFormat="1" applyFont="1" applyAlignment="1">
      <alignment horizontal="right" vertical="top"/>
    </xf>
    <xf numFmtId="3" fontId="19" fillId="0" borderId="0" xfId="2" applyNumberFormat="1" applyFont="1" applyAlignment="1">
      <alignment horizontal="center" vertical="top"/>
    </xf>
    <xf numFmtId="0" fontId="36" fillId="0" borderId="0" xfId="2" applyFont="1" applyAlignment="1">
      <alignment vertical="center"/>
    </xf>
    <xf numFmtId="0" fontId="3" fillId="0" borderId="0" xfId="2" applyAlignment="1">
      <alignment horizontal="center" vertical="center"/>
    </xf>
    <xf numFmtId="164" fontId="19" fillId="0" borderId="0" xfId="2" applyNumberFormat="1" applyFont="1" applyAlignment="1">
      <alignment horizontal="center" vertical="center"/>
    </xf>
    <xf numFmtId="0" fontId="34" fillId="0" borderId="1" xfId="4" applyFont="1" applyAlignment="1">
      <alignment horizontal="center"/>
    </xf>
    <xf numFmtId="3" fontId="19" fillId="0" borderId="0" xfId="2" applyNumberFormat="1" applyFont="1" applyAlignment="1">
      <alignment horizontal="center" vertical="center"/>
    </xf>
    <xf numFmtId="164" fontId="19" fillId="0" borderId="0" xfId="2" applyNumberFormat="1" applyFont="1" applyAlignment="1">
      <alignment horizontal="left" vertical="center"/>
    </xf>
    <xf numFmtId="0" fontId="41" fillId="0" borderId="0" xfId="2" applyFont="1" applyAlignment="1">
      <alignment horizontal="center" vertical="top"/>
    </xf>
    <xf numFmtId="0" fontId="28" fillId="0" borderId="0" xfId="8" applyBorder="1" applyAlignment="1">
      <alignment horizontal="center" vertical="center"/>
    </xf>
    <xf numFmtId="0" fontId="28" fillId="0" borderId="0" xfId="8" applyBorder="1" applyAlignment="1">
      <alignment vertical="center"/>
    </xf>
    <xf numFmtId="0" fontId="9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 shrinkToFi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3" fillId="3" borderId="0" xfId="3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" fillId="0" borderId="3" xfId="1" applyBorder="1" applyAlignment="1">
      <alignment horizontal="center" vertical="top"/>
    </xf>
    <xf numFmtId="0" fontId="2" fillId="0" borderId="3" xfId="1" applyBorder="1" applyAlignment="1">
      <alignment vertical="top"/>
    </xf>
    <xf numFmtId="0" fontId="10" fillId="4" borderId="0" xfId="2" applyFont="1" applyFill="1" applyAlignment="1">
      <alignment horizontal="center" vertical="center"/>
    </xf>
    <xf numFmtId="164" fontId="14" fillId="0" borderId="9" xfId="5" applyNumberFormat="1" applyBorder="1" applyAlignment="1">
      <alignment horizontal="left"/>
    </xf>
    <xf numFmtId="0" fontId="12" fillId="0" borderId="1" xfId="4" applyAlignment="1">
      <alignment horizontal="left" vertical="top"/>
    </xf>
    <xf numFmtId="0" fontId="12" fillId="0" borderId="1" xfId="4" applyAlignment="1">
      <alignment vertical="top"/>
    </xf>
    <xf numFmtId="0" fontId="37" fillId="0" borderId="0" xfId="2" applyFont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0" fontId="32" fillId="0" borderId="0" xfId="2" applyFont="1" applyAlignment="1">
      <alignment horizontal="center" vertical="top"/>
    </xf>
    <xf numFmtId="0" fontId="12" fillId="0" borderId="1" xfId="4" applyAlignment="1">
      <alignment vertical="top" shrinkToFit="1"/>
    </xf>
    <xf numFmtId="0" fontId="35" fillId="0" borderId="3" xfId="1" applyFont="1" applyBorder="1" applyAlignment="1">
      <alignment horizontal="center" vertical="top"/>
    </xf>
    <xf numFmtId="0" fontId="35" fillId="0" borderId="3" xfId="1" applyFont="1" applyBorder="1" applyAlignment="1">
      <alignment vertical="top"/>
    </xf>
    <xf numFmtId="0" fontId="17" fillId="0" borderId="3" xfId="6" applyFont="1" applyFill="1" applyBorder="1" applyAlignment="1">
      <alignment horizontal="left" vertical="center"/>
    </xf>
    <xf numFmtId="0" fontId="28" fillId="0" borderId="2" xfId="8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28" fillId="0" borderId="2" xfId="8" applyFill="1" applyAlignment="1">
      <alignment horizontal="center" vertical="center"/>
    </xf>
    <xf numFmtId="0" fontId="17" fillId="0" borderId="8" xfId="6" applyFont="1" applyFill="1" applyBorder="1" applyAlignment="1">
      <alignment horizontal="left" vertical="center"/>
    </xf>
    <xf numFmtId="0" fontId="17" fillId="0" borderId="0" xfId="2" applyFont="1" applyAlignment="1">
      <alignment vertical="center"/>
    </xf>
    <xf numFmtId="0" fontId="17" fillId="0" borderId="0" xfId="2" applyFont="1" applyAlignment="1">
      <alignment vertical="center" wrapText="1"/>
    </xf>
    <xf numFmtId="0" fontId="17" fillId="0" borderId="0" xfId="6" applyFont="1" applyFill="1" applyBorder="1" applyAlignment="1">
      <alignment horizontal="left" vertical="center" wrapText="1"/>
    </xf>
    <xf numFmtId="0" fontId="17" fillId="0" borderId="0" xfId="6" applyFont="1" applyFill="1" applyBorder="1" applyAlignment="1">
      <alignment horizontal="left" vertical="center"/>
    </xf>
    <xf numFmtId="0" fontId="13" fillId="0" borderId="4" xfId="4" applyFont="1" applyBorder="1" applyAlignment="1">
      <alignment horizontal="center" vertical="center" shrinkToFit="1"/>
    </xf>
    <xf numFmtId="164" fontId="15" fillId="0" borderId="6" xfId="5" applyNumberFormat="1" applyFont="1" applyBorder="1" applyAlignment="1">
      <alignment horizontal="center" wrapText="1"/>
    </xf>
    <xf numFmtId="0" fontId="28" fillId="0" borderId="7" xfId="8" applyBorder="1" applyAlignment="1">
      <alignment horizontal="center" vertical="center"/>
    </xf>
    <xf numFmtId="0" fontId="17" fillId="0" borderId="0" xfId="6" applyFont="1" applyFill="1" applyAlignment="1">
      <alignment horizontal="left" vertical="center"/>
    </xf>
    <xf numFmtId="164" fontId="15" fillId="0" borderId="3" xfId="5" applyNumberFormat="1" applyFont="1" applyAlignment="1">
      <alignment horizontal="center" wrapText="1"/>
    </xf>
    <xf numFmtId="0" fontId="17" fillId="0" borderId="0" xfId="6" applyFont="1" applyFill="1" applyBorder="1" applyAlignment="1">
      <alignment horizontal="center" vertical="center" wrapText="1"/>
    </xf>
    <xf numFmtId="0" fontId="17" fillId="0" borderId="5" xfId="6" applyFont="1" applyFill="1" applyBorder="1" applyAlignment="1">
      <alignment horizontal="left" vertical="center" wrapText="1"/>
    </xf>
    <xf numFmtId="0" fontId="17" fillId="0" borderId="5" xfId="6" applyFont="1" applyFill="1" applyBorder="1" applyAlignment="1">
      <alignment horizontal="left" vertical="center"/>
    </xf>
    <xf numFmtId="0" fontId="17" fillId="0" borderId="0" xfId="6" applyFont="1" applyFill="1" applyAlignment="1">
      <alignment horizontal="left" vertical="center" wrapText="1"/>
    </xf>
    <xf numFmtId="0" fontId="10" fillId="4" borderId="1" xfId="2" applyFont="1" applyFill="1" applyBorder="1" applyAlignment="1">
      <alignment horizontal="center" vertical="center"/>
    </xf>
    <xf numFmtId="0" fontId="7" fillId="3" borderId="0" xfId="3" applyFont="1" applyAlignment="1">
      <alignment horizontal="center" vertical="center" shrinkToFit="1"/>
    </xf>
    <xf numFmtId="0" fontId="7" fillId="3" borderId="0" xfId="3" applyFont="1" applyAlignment="1">
      <alignment horizontal="right" vertical="center"/>
    </xf>
    <xf numFmtId="0" fontId="7" fillId="3" borderId="0" xfId="3" applyFont="1" applyAlignment="1">
      <alignment horizontal="center" vertical="center"/>
    </xf>
    <xf numFmtId="0" fontId="8" fillId="0" borderId="0" xfId="2" applyFont="1" applyAlignment="1">
      <alignment horizontal="center" vertical="top"/>
    </xf>
    <xf numFmtId="0" fontId="3" fillId="0" borderId="0" xfId="6" applyFill="1" applyAlignment="1">
      <alignment horizontal="left" vertical="top"/>
    </xf>
    <xf numFmtId="0" fontId="38" fillId="3" borderId="0" xfId="3" applyFont="1" applyAlignment="1">
      <alignment horizontal="center" vertical="center"/>
    </xf>
    <xf numFmtId="0" fontId="34" fillId="0" borderId="0" xfId="4" applyFont="1" applyBorder="1" applyAlignment="1">
      <alignment horizontal="center"/>
    </xf>
    <xf numFmtId="0" fontId="12" fillId="0" borderId="1" xfId="4" applyAlignment="1">
      <alignment horizontal="center" vertical="center"/>
    </xf>
    <xf numFmtId="0" fontId="14" fillId="0" borderId="9" xfId="5" applyBorder="1" applyAlignment="1">
      <alignment horizontal="center" vertical="center"/>
    </xf>
    <xf numFmtId="0" fontId="0" fillId="0" borderId="0" xfId="6" applyFont="1" applyFill="1" applyAlignment="1">
      <alignment horizontal="left" vertical="top"/>
    </xf>
    <xf numFmtId="0" fontId="19" fillId="0" borderId="0" xfId="6" applyFont="1" applyFill="1" applyAlignment="1">
      <alignment horizontal="left" vertical="top"/>
    </xf>
    <xf numFmtId="0" fontId="19" fillId="0" borderId="0" xfId="6" applyFont="1" applyFill="1" applyAlignment="1">
      <alignment horizontal="left" vertical="top" wrapText="1"/>
    </xf>
    <xf numFmtId="0" fontId="10" fillId="5" borderId="0" xfId="4" applyFont="1" applyFill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19" fillId="0" borderId="3" xfId="6" applyFont="1" applyFill="1" applyBorder="1" applyAlignment="1">
      <alignment horizontal="left" vertical="top" wrapText="1"/>
    </xf>
    <xf numFmtId="0" fontId="3" fillId="0" borderId="3" xfId="6" applyFill="1" applyBorder="1" applyAlignment="1">
      <alignment horizontal="left" vertical="top" wrapText="1"/>
    </xf>
    <xf numFmtId="0" fontId="15" fillId="0" borderId="6" xfId="5" applyFont="1" applyBorder="1" applyAlignment="1">
      <alignment horizontal="center" vertical="center"/>
    </xf>
    <xf numFmtId="0" fontId="36" fillId="0" borderId="10" xfId="2" applyFont="1" applyBorder="1" applyAlignment="1">
      <alignment horizontal="left" vertical="top"/>
    </xf>
    <xf numFmtId="0" fontId="36" fillId="0" borderId="0" xfId="2" applyFont="1" applyAlignment="1">
      <alignment horizontal="left" vertical="top"/>
    </xf>
    <xf numFmtId="0" fontId="12" fillId="0" borderId="1" xfId="4" applyAlignment="1">
      <alignment horizontal="right" vertical="center"/>
    </xf>
    <xf numFmtId="0" fontId="19" fillId="0" borderId="0" xfId="6" applyFont="1" applyFill="1" applyAlignment="1">
      <alignment horizontal="left" vertical="center" wrapText="1"/>
    </xf>
    <xf numFmtId="0" fontId="0" fillId="0" borderId="0" xfId="6" applyFont="1" applyFill="1" applyAlignment="1">
      <alignment horizontal="left" vertical="center" wrapText="1"/>
    </xf>
    <xf numFmtId="164" fontId="26" fillId="0" borderId="10" xfId="6" applyNumberFormat="1" applyFont="1" applyFill="1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0" xfId="6" applyFill="1" applyAlignment="1">
      <alignment horizontal="left" vertical="top" wrapText="1"/>
    </xf>
    <xf numFmtId="164" fontId="14" fillId="0" borderId="9" xfId="5" applyNumberFormat="1" applyBorder="1" applyAlignment="1">
      <alignment horizontal="center" vertical="center"/>
    </xf>
    <xf numFmtId="164" fontId="26" fillId="0" borderId="0" xfId="6" applyNumberFormat="1" applyFont="1" applyFill="1" applyAlignment="1">
      <alignment horizontal="center" vertical="center"/>
    </xf>
    <xf numFmtId="0" fontId="0" fillId="0" borderId="0" xfId="6" applyFont="1" applyFill="1" applyAlignment="1">
      <alignment horizontal="left" vertical="top" wrapText="1"/>
    </xf>
    <xf numFmtId="0" fontId="26" fillId="0" borderId="0" xfId="2" applyFont="1" applyAlignment="1">
      <alignment horizontal="center"/>
    </xf>
    <xf numFmtId="0" fontId="3" fillId="0" borderId="0" xfId="2" applyAlignment="1">
      <alignment horizontal="left" vertical="top"/>
    </xf>
    <xf numFmtId="0" fontId="3" fillId="0" borderId="0" xfId="6" applyFill="1" applyBorder="1" applyAlignment="1">
      <alignment horizontal="left" vertical="top"/>
    </xf>
    <xf numFmtId="0" fontId="36" fillId="0" borderId="0" xfId="2" applyFont="1" applyAlignment="1">
      <alignment horizontal="left" vertical="center"/>
    </xf>
    <xf numFmtId="0" fontId="3" fillId="0" borderId="0" xfId="2" applyAlignment="1">
      <alignment horizontal="left" vertical="center"/>
    </xf>
    <xf numFmtId="0" fontId="41" fillId="0" borderId="0" xfId="2" applyFont="1" applyAlignment="1">
      <alignment horizontal="center" vertical="top"/>
    </xf>
    <xf numFmtId="0" fontId="36" fillId="0" borderId="0" xfId="2" applyFont="1" applyAlignment="1">
      <alignment horizontal="left" vertical="center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center" vertical="center" wrapText="1"/>
    </xf>
  </cellXfs>
  <cellStyles count="10">
    <cellStyle name="60% - Accent3 2" xfId="6" xr:uid="{E4246C85-84AD-4B4B-B5D6-7FED49911226}"/>
    <cellStyle name="Accent5 2" xfId="3" xr:uid="{39A47203-43DB-4B57-9A8A-228D9087E99C}"/>
    <cellStyle name="Heading 1 2" xfId="4" xr:uid="{CF3E71A7-33FA-4674-8714-1897C0C7555E}"/>
    <cellStyle name="Heading 2 2" xfId="8" xr:uid="{D6BD915A-B81E-49EB-B0D0-ED69654E0E44}"/>
    <cellStyle name="Heading 3 2" xfId="5" xr:uid="{5F6C91A2-D82C-4076-9733-A487791E9CE9}"/>
    <cellStyle name="Heading 4" xfId="1" builtinId="19"/>
    <cellStyle name="Normal" xfId="0" builtinId="0"/>
    <cellStyle name="Normal 2" xfId="9" xr:uid="{31222C15-DF07-45F5-BE22-C66904412D48}"/>
    <cellStyle name="Normal 3" xfId="2" xr:uid="{5D425656-435A-499D-99E0-9199594F99D0}"/>
    <cellStyle name="Normal 5 2 2 3" xfId="7" xr:uid="{CCFE4169-A4B2-4F22-A081-768BCC599FF1}"/>
  </cellStyles>
  <dxfs count="119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762001</xdr:colOff>
      <xdr:row>1</xdr:row>
      <xdr:rowOff>15241</xdr:rowOff>
    </xdr:from>
    <xdr:to>
      <xdr:col>4</xdr:col>
      <xdr:colOff>571500</xdr:colOff>
      <xdr:row>1</xdr:row>
      <xdr:rowOff>373380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D8EF9-19D5-42E3-9C89-6942AB782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63" b="6968"/>
        <a:stretch/>
      </xdr:blipFill>
      <xdr:spPr>
        <a:xfrm>
          <a:off x="3436621" y="182881"/>
          <a:ext cx="1463039" cy="358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4D9-EC13-435E-B033-5961D9DBC390}">
  <sheetPr>
    <tabColor theme="9" tint="-0.249977111117893"/>
  </sheetPr>
  <dimension ref="A1:J186"/>
  <sheetViews>
    <sheetView zoomScaleNormal="100" zoomScaleSheetLayoutView="50" workbookViewId="0">
      <selection activeCell="L6" sqref="L6"/>
    </sheetView>
  </sheetViews>
  <sheetFormatPr defaultRowHeight="13.2" x14ac:dyDescent="0.25"/>
  <cols>
    <col min="1" max="1" width="2.33203125" style="51" customWidth="1"/>
    <col min="2" max="2" width="22.33203125" style="51" customWidth="1"/>
    <col min="3" max="3" width="14.33203125" style="51" customWidth="1"/>
    <col min="4" max="4" width="24.109375" style="51" customWidth="1"/>
    <col min="5" max="5" width="25.5546875" style="51" customWidth="1"/>
    <col min="6" max="6" width="10.6640625" style="52" customWidth="1"/>
    <col min="7" max="7" width="11.44140625" style="52" customWidth="1"/>
    <col min="8" max="8" width="3" style="52" customWidth="1"/>
    <col min="9" max="9" width="6.109375" style="1" customWidth="1"/>
    <col min="10" max="10" width="5.5546875" style="9" bestFit="1" customWidth="1"/>
    <col min="11" max="16384" width="8.88671875" style="1"/>
  </cols>
  <sheetData>
    <row r="1" spans="1:10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0" ht="30" customHeight="1" x14ac:dyDescent="0.25">
      <c r="A2" s="142" t="s">
        <v>151</v>
      </c>
      <c r="B2" s="143"/>
      <c r="C2" s="143"/>
      <c r="D2" s="143"/>
      <c r="E2" s="143"/>
      <c r="F2" s="143"/>
      <c r="G2" s="143"/>
      <c r="H2" s="143"/>
      <c r="I2" s="143"/>
      <c r="J2" s="2"/>
    </row>
    <row r="3" spans="1:10" ht="21" x14ac:dyDescent="0.25">
      <c r="A3" s="144" t="s">
        <v>2</v>
      </c>
      <c r="B3" s="144"/>
      <c r="C3" s="144"/>
      <c r="D3" s="55" t="s">
        <v>152</v>
      </c>
      <c r="E3" s="144" t="s">
        <v>4</v>
      </c>
      <c r="F3" s="144"/>
      <c r="G3" s="144"/>
      <c r="H3" s="144"/>
      <c r="I3" s="144"/>
      <c r="J3" s="144"/>
    </row>
    <row r="4" spans="1:10" ht="13.2" customHeight="1" x14ac:dyDescent="0.25">
      <c r="A4" s="145" t="s">
        <v>5</v>
      </c>
      <c r="B4" s="145"/>
      <c r="C4" s="145"/>
      <c r="D4" s="145"/>
      <c r="E4" s="145"/>
      <c r="F4" s="145"/>
      <c r="G4" s="145"/>
      <c r="H4" s="145"/>
      <c r="I4" s="145"/>
      <c r="J4" s="6"/>
    </row>
    <row r="5" spans="1:10" ht="13.2" customHeight="1" x14ac:dyDescent="0.25">
      <c r="A5" s="140" t="s">
        <v>6</v>
      </c>
      <c r="B5" s="140"/>
      <c r="C5" s="140"/>
      <c r="D5" s="140"/>
      <c r="E5" s="140"/>
      <c r="F5" s="140"/>
      <c r="G5" s="140"/>
      <c r="H5" s="140"/>
      <c r="I5" s="140"/>
      <c r="J5" s="5"/>
    </row>
    <row r="6" spans="1:10" ht="13.2" customHeight="1" x14ac:dyDescent="0.25">
      <c r="A6" s="145" t="s">
        <v>7</v>
      </c>
      <c r="B6" s="145"/>
      <c r="C6" s="145"/>
      <c r="D6" s="145"/>
      <c r="E6" s="145"/>
      <c r="F6" s="145"/>
      <c r="G6" s="145"/>
      <c r="H6" s="145"/>
      <c r="I6" s="145"/>
      <c r="J6" s="6"/>
    </row>
    <row r="7" spans="1:10" s="7" customFormat="1" ht="21.6" customHeight="1" x14ac:dyDescent="0.25">
      <c r="A7" s="148" t="s">
        <v>8</v>
      </c>
      <c r="B7" s="148"/>
      <c r="C7" s="148"/>
      <c r="D7" s="148"/>
      <c r="E7" s="148"/>
      <c r="F7" s="148"/>
      <c r="G7" s="148"/>
      <c r="H7" s="148"/>
      <c r="I7" s="148"/>
      <c r="J7" s="148"/>
    </row>
    <row r="8" spans="1:10" ht="13.2" customHeight="1" x14ac:dyDescent="0.25">
      <c r="A8" s="145"/>
      <c r="B8" s="145"/>
      <c r="C8" s="145"/>
      <c r="D8" s="145"/>
      <c r="E8" s="145"/>
      <c r="F8" s="145"/>
      <c r="G8" s="145"/>
      <c r="H8" s="145"/>
      <c r="I8" s="145"/>
      <c r="J8" s="6"/>
    </row>
    <row r="9" spans="1:10" ht="19.8" thickBot="1" x14ac:dyDescent="0.3">
      <c r="A9" s="57" t="s">
        <v>153</v>
      </c>
      <c r="B9" s="57"/>
      <c r="C9" s="57"/>
      <c r="D9" s="57"/>
      <c r="E9" s="57"/>
      <c r="F9" s="58"/>
      <c r="G9" s="58"/>
      <c r="H9" s="58"/>
      <c r="I9" s="58"/>
      <c r="J9" s="58"/>
    </row>
    <row r="10" spans="1:10" ht="15.6" customHeight="1" thickTop="1" thickBot="1" x14ac:dyDescent="0.3">
      <c r="B10" s="59" t="s">
        <v>10</v>
      </c>
      <c r="C10" s="59" t="s">
        <v>154</v>
      </c>
      <c r="D10" s="59" t="s">
        <v>155</v>
      </c>
      <c r="E10" s="59" t="s">
        <v>156</v>
      </c>
      <c r="F10" s="60" t="s">
        <v>157</v>
      </c>
      <c r="G10" s="60" t="s">
        <v>158</v>
      </c>
      <c r="H10" s="149" t="s">
        <v>159</v>
      </c>
      <c r="I10" s="149"/>
      <c r="J10" s="61" t="s">
        <v>16</v>
      </c>
    </row>
    <row r="11" spans="1:10" x14ac:dyDescent="0.25">
      <c r="B11" s="62" t="s">
        <v>160</v>
      </c>
      <c r="C11" s="63" t="s">
        <v>161</v>
      </c>
      <c r="D11" s="64" t="s">
        <v>162</v>
      </c>
      <c r="E11" s="64" t="s">
        <v>163</v>
      </c>
      <c r="F11" s="65">
        <v>30.75</v>
      </c>
      <c r="G11" s="65">
        <f>H11*F11</f>
        <v>369</v>
      </c>
      <c r="H11" s="66">
        <v>12</v>
      </c>
      <c r="I11" s="67" t="s">
        <v>164</v>
      </c>
      <c r="J11" s="52" t="s">
        <v>28</v>
      </c>
    </row>
    <row r="12" spans="1:10" x14ac:dyDescent="0.25">
      <c r="B12" s="62" t="s">
        <v>165</v>
      </c>
      <c r="C12" s="63" t="s">
        <v>166</v>
      </c>
      <c r="D12" s="64" t="s">
        <v>162</v>
      </c>
      <c r="E12" s="64" t="s">
        <v>163</v>
      </c>
      <c r="F12" s="65">
        <v>31.05</v>
      </c>
      <c r="G12" s="65">
        <f>H12*F12</f>
        <v>372.6</v>
      </c>
      <c r="H12" s="66">
        <v>12</v>
      </c>
      <c r="I12" s="67" t="s">
        <v>164</v>
      </c>
      <c r="J12" s="52" t="s">
        <v>28</v>
      </c>
    </row>
    <row r="13" spans="1:10" x14ac:dyDescent="0.25">
      <c r="B13" s="62" t="s">
        <v>167</v>
      </c>
      <c r="C13" s="63" t="s">
        <v>168</v>
      </c>
      <c r="D13" s="64" t="s">
        <v>162</v>
      </c>
      <c r="E13" s="64" t="s">
        <v>163</v>
      </c>
      <c r="F13" s="65">
        <v>31.35</v>
      </c>
      <c r="G13" s="65">
        <f>H13*F13</f>
        <v>376.20000000000005</v>
      </c>
      <c r="H13" s="66">
        <v>12</v>
      </c>
      <c r="I13" s="67" t="s">
        <v>164</v>
      </c>
      <c r="J13" s="52" t="s">
        <v>28</v>
      </c>
    </row>
    <row r="14" spans="1:10" ht="15" thickBot="1" x14ac:dyDescent="0.35">
      <c r="B14" s="68" t="s">
        <v>169</v>
      </c>
      <c r="C14" s="146" t="s">
        <v>170</v>
      </c>
      <c r="D14" s="147"/>
      <c r="E14" s="147"/>
      <c r="F14" s="147"/>
      <c r="G14" s="69"/>
      <c r="H14" s="70"/>
      <c r="I14" s="68"/>
      <c r="J14" s="71"/>
    </row>
    <row r="15" spans="1:10" x14ac:dyDescent="0.25">
      <c r="B15" s="62" t="s">
        <v>171</v>
      </c>
      <c r="C15" s="63" t="s">
        <v>172</v>
      </c>
      <c r="D15" s="51" t="s">
        <v>173</v>
      </c>
      <c r="E15" s="51" t="s">
        <v>174</v>
      </c>
      <c r="F15" s="65">
        <v>8.1999999999999993</v>
      </c>
      <c r="G15" s="52">
        <f>H15*F15</f>
        <v>98.399999999999991</v>
      </c>
      <c r="H15" s="73">
        <v>12</v>
      </c>
      <c r="I15" s="67" t="s">
        <v>164</v>
      </c>
      <c r="J15" s="52" t="s">
        <v>28</v>
      </c>
    </row>
    <row r="16" spans="1:10" x14ac:dyDescent="0.25">
      <c r="B16" s="62" t="s">
        <v>175</v>
      </c>
      <c r="C16" s="63" t="s">
        <v>176</v>
      </c>
      <c r="D16" s="51" t="s">
        <v>173</v>
      </c>
      <c r="E16" s="51" t="s">
        <v>177</v>
      </c>
      <c r="F16" s="65">
        <v>8.35</v>
      </c>
      <c r="G16" s="52">
        <f>H16*F16</f>
        <v>100.19999999999999</v>
      </c>
      <c r="H16" s="73">
        <v>12</v>
      </c>
      <c r="I16" s="67" t="s">
        <v>164</v>
      </c>
      <c r="J16" s="52" t="s">
        <v>28</v>
      </c>
    </row>
    <row r="17" spans="1:10" x14ac:dyDescent="0.25">
      <c r="B17" s="62" t="s">
        <v>178</v>
      </c>
      <c r="C17" s="63" t="s">
        <v>179</v>
      </c>
      <c r="D17" s="51" t="s">
        <v>173</v>
      </c>
      <c r="E17" s="51" t="s">
        <v>180</v>
      </c>
      <c r="F17" s="65">
        <v>8.6</v>
      </c>
      <c r="G17" s="52">
        <f>H17*F17</f>
        <v>103.19999999999999</v>
      </c>
      <c r="H17" s="73">
        <v>12</v>
      </c>
      <c r="I17" s="67" t="s">
        <v>164</v>
      </c>
      <c r="J17" s="52" t="s">
        <v>28</v>
      </c>
    </row>
    <row r="18" spans="1:10" ht="3.6" customHeight="1" x14ac:dyDescent="0.25">
      <c r="F18" s="51"/>
      <c r="G18" s="51"/>
      <c r="H18" s="74"/>
    </row>
    <row r="19" spans="1:10" ht="19.8" thickBot="1" x14ac:dyDescent="0.3">
      <c r="A19" s="150" t="s">
        <v>181</v>
      </c>
      <c r="B19" s="150"/>
      <c r="C19" s="57"/>
      <c r="D19" s="57"/>
      <c r="E19" s="57"/>
      <c r="F19" s="58"/>
      <c r="G19" s="58"/>
      <c r="H19" s="75"/>
      <c r="I19" s="58"/>
      <c r="J19" s="58"/>
    </row>
    <row r="20" spans="1:10" ht="15" thickTop="1" thickBot="1" x14ac:dyDescent="0.3">
      <c r="B20" s="59" t="s">
        <v>10</v>
      </c>
      <c r="C20" s="59" t="s">
        <v>154</v>
      </c>
      <c r="D20" s="59" t="s">
        <v>155</v>
      </c>
      <c r="E20" s="59" t="s">
        <v>156</v>
      </c>
      <c r="F20" s="60" t="s">
        <v>182</v>
      </c>
      <c r="G20" s="60" t="s">
        <v>158</v>
      </c>
      <c r="H20" s="149" t="s">
        <v>159</v>
      </c>
      <c r="I20" s="149"/>
      <c r="J20" s="61" t="s">
        <v>16</v>
      </c>
    </row>
    <row r="21" spans="1:10" x14ac:dyDescent="0.25">
      <c r="B21" s="62" t="s">
        <v>183</v>
      </c>
      <c r="C21" s="63" t="s">
        <v>161</v>
      </c>
      <c r="D21" s="64" t="s">
        <v>162</v>
      </c>
      <c r="E21" s="64" t="s">
        <v>163</v>
      </c>
      <c r="F21" s="65">
        <v>26.05</v>
      </c>
      <c r="G21" s="52">
        <f>H21*F21</f>
        <v>312.60000000000002</v>
      </c>
      <c r="H21" s="76">
        <v>12</v>
      </c>
      <c r="I21" s="67" t="s">
        <v>164</v>
      </c>
      <c r="J21" s="52" t="s">
        <v>28</v>
      </c>
    </row>
    <row r="22" spans="1:10" x14ac:dyDescent="0.25">
      <c r="B22" s="62" t="s">
        <v>184</v>
      </c>
      <c r="C22" s="63" t="s">
        <v>166</v>
      </c>
      <c r="D22" s="64" t="s">
        <v>162</v>
      </c>
      <c r="E22" s="64" t="s">
        <v>163</v>
      </c>
      <c r="F22" s="65">
        <v>27.7</v>
      </c>
      <c r="G22" s="52">
        <f>H22*F22</f>
        <v>332.4</v>
      </c>
      <c r="H22" s="76">
        <v>12</v>
      </c>
      <c r="I22" s="67" t="s">
        <v>164</v>
      </c>
      <c r="J22" s="52" t="s">
        <v>28</v>
      </c>
    </row>
    <row r="23" spans="1:10" x14ac:dyDescent="0.25">
      <c r="B23" s="62" t="s">
        <v>185</v>
      </c>
      <c r="C23" s="63" t="s">
        <v>161</v>
      </c>
      <c r="D23" s="64" t="s">
        <v>186</v>
      </c>
      <c r="E23" s="64" t="s">
        <v>163</v>
      </c>
      <c r="F23" s="65">
        <v>21.15</v>
      </c>
      <c r="G23" s="52">
        <f>H23*F23</f>
        <v>253.79999999999998</v>
      </c>
      <c r="H23" s="76">
        <v>12</v>
      </c>
      <c r="I23" s="67" t="s">
        <v>164</v>
      </c>
      <c r="J23" s="52" t="s">
        <v>28</v>
      </c>
    </row>
    <row r="24" spans="1:10" x14ac:dyDescent="0.25">
      <c r="B24" s="62" t="s">
        <v>187</v>
      </c>
      <c r="C24" s="63" t="s">
        <v>166</v>
      </c>
      <c r="D24" s="64" t="s">
        <v>186</v>
      </c>
      <c r="E24" s="64" t="s">
        <v>163</v>
      </c>
      <c r="F24" s="65">
        <v>21.8</v>
      </c>
      <c r="G24" s="52">
        <f>H24*F24</f>
        <v>261.60000000000002</v>
      </c>
      <c r="H24" s="76">
        <v>12</v>
      </c>
      <c r="I24" s="67" t="s">
        <v>164</v>
      </c>
      <c r="J24" s="52" t="s">
        <v>28</v>
      </c>
    </row>
    <row r="25" spans="1:10" ht="15" thickBot="1" x14ac:dyDescent="0.35">
      <c r="B25" s="68" t="s">
        <v>169</v>
      </c>
      <c r="C25" s="146" t="s">
        <v>188</v>
      </c>
      <c r="D25" s="147"/>
      <c r="E25" s="147"/>
      <c r="F25" s="147"/>
      <c r="G25" s="69"/>
      <c r="H25" s="70"/>
      <c r="I25" s="68"/>
      <c r="J25" s="71"/>
    </row>
    <row r="26" spans="1:10" x14ac:dyDescent="0.25">
      <c r="B26" s="62" t="s">
        <v>189</v>
      </c>
      <c r="C26" s="63" t="s">
        <v>190</v>
      </c>
      <c r="D26" s="51" t="s">
        <v>173</v>
      </c>
      <c r="E26" s="51" t="s">
        <v>191</v>
      </c>
      <c r="F26" s="65">
        <v>7.4</v>
      </c>
      <c r="G26" s="52">
        <f>H26*F26</f>
        <v>88.800000000000011</v>
      </c>
      <c r="H26" s="76">
        <v>12</v>
      </c>
      <c r="I26" s="67" t="s">
        <v>164</v>
      </c>
      <c r="J26" s="52" t="s">
        <v>28</v>
      </c>
    </row>
    <row r="27" spans="1:10" x14ac:dyDescent="0.25">
      <c r="B27" s="62" t="s">
        <v>192</v>
      </c>
      <c r="C27" s="63" t="s">
        <v>193</v>
      </c>
      <c r="D27" s="51" t="s">
        <v>173</v>
      </c>
      <c r="E27" s="51" t="s">
        <v>194</v>
      </c>
      <c r="F27" s="65">
        <v>7.65</v>
      </c>
      <c r="G27" s="52">
        <f>H27*F27</f>
        <v>91.800000000000011</v>
      </c>
      <c r="H27" s="76">
        <v>12</v>
      </c>
      <c r="I27" s="67" t="s">
        <v>164</v>
      </c>
      <c r="J27" s="52" t="s">
        <v>28</v>
      </c>
    </row>
    <row r="28" spans="1:10" ht="3.6" customHeight="1" x14ac:dyDescent="0.25">
      <c r="B28" s="62"/>
      <c r="C28" s="63"/>
      <c r="H28" s="73"/>
    </row>
    <row r="29" spans="1:10" ht="19.8" thickBot="1" x14ac:dyDescent="0.3">
      <c r="A29" s="57" t="s">
        <v>195</v>
      </c>
      <c r="B29" s="57"/>
      <c r="C29" s="57"/>
      <c r="D29" s="57"/>
      <c r="E29" s="57"/>
      <c r="F29" s="58"/>
      <c r="G29" s="58"/>
      <c r="H29" s="75"/>
      <c r="I29" s="58"/>
      <c r="J29" s="58"/>
    </row>
    <row r="30" spans="1:10" ht="15" thickTop="1" thickBot="1" x14ac:dyDescent="0.3">
      <c r="B30" s="59" t="s">
        <v>10</v>
      </c>
      <c r="C30" s="59" t="s">
        <v>154</v>
      </c>
      <c r="D30" s="59" t="s">
        <v>155</v>
      </c>
      <c r="E30" s="59" t="s">
        <v>156</v>
      </c>
      <c r="F30" s="60" t="s">
        <v>182</v>
      </c>
      <c r="G30" s="60" t="s">
        <v>158</v>
      </c>
      <c r="H30" s="149" t="s">
        <v>159</v>
      </c>
      <c r="I30" s="149"/>
      <c r="J30" s="61" t="s">
        <v>16</v>
      </c>
    </row>
    <row r="31" spans="1:10" x14ac:dyDescent="0.25">
      <c r="B31" s="62" t="s">
        <v>196</v>
      </c>
      <c r="C31" s="63" t="s">
        <v>161</v>
      </c>
      <c r="D31" s="62" t="s">
        <v>186</v>
      </c>
      <c r="E31" s="51" t="s">
        <v>197</v>
      </c>
      <c r="F31" s="65">
        <v>14.4</v>
      </c>
      <c r="G31" s="52">
        <f>H31*F31</f>
        <v>172.8</v>
      </c>
      <c r="H31" s="76">
        <v>12</v>
      </c>
      <c r="I31" s="67" t="s">
        <v>164</v>
      </c>
      <c r="J31" s="52" t="s">
        <v>28</v>
      </c>
    </row>
    <row r="32" spans="1:10" x14ac:dyDescent="0.25">
      <c r="B32" s="62" t="s">
        <v>198</v>
      </c>
      <c r="C32" s="63" t="s">
        <v>161</v>
      </c>
      <c r="D32" s="62" t="s">
        <v>186</v>
      </c>
      <c r="E32" s="62" t="s">
        <v>199</v>
      </c>
      <c r="F32" s="65">
        <v>15.9</v>
      </c>
      <c r="G32" s="52">
        <f t="shared" ref="G32:G37" si="0">H32*F32</f>
        <v>190.8</v>
      </c>
      <c r="H32" s="76">
        <v>12</v>
      </c>
      <c r="I32" s="67" t="s">
        <v>164</v>
      </c>
      <c r="J32" s="52" t="s">
        <v>28</v>
      </c>
    </row>
    <row r="33" spans="1:10" x14ac:dyDescent="0.25">
      <c r="B33" s="62" t="s">
        <v>200</v>
      </c>
      <c r="C33" s="63" t="s">
        <v>161</v>
      </c>
      <c r="D33" s="62" t="s">
        <v>201</v>
      </c>
      <c r="E33" s="62" t="s">
        <v>199</v>
      </c>
      <c r="F33" s="65">
        <v>15.9</v>
      </c>
      <c r="G33" s="52">
        <f>H33*F33</f>
        <v>190.8</v>
      </c>
      <c r="H33" s="76">
        <v>12</v>
      </c>
      <c r="I33" s="67" t="s">
        <v>164</v>
      </c>
      <c r="J33" s="52" t="s">
        <v>28</v>
      </c>
    </row>
    <row r="34" spans="1:10" x14ac:dyDescent="0.25">
      <c r="B34" s="77" t="s">
        <v>202</v>
      </c>
      <c r="C34" s="78" t="s">
        <v>161</v>
      </c>
      <c r="D34" s="77" t="s">
        <v>186</v>
      </c>
      <c r="E34" s="77" t="s">
        <v>163</v>
      </c>
      <c r="F34" s="65">
        <v>20.8</v>
      </c>
      <c r="G34" s="52">
        <f t="shared" si="0"/>
        <v>249.60000000000002</v>
      </c>
      <c r="H34" s="76">
        <v>12</v>
      </c>
      <c r="I34" s="67" t="s">
        <v>164</v>
      </c>
      <c r="J34" s="52" t="s">
        <v>28</v>
      </c>
    </row>
    <row r="35" spans="1:10" x14ac:dyDescent="0.25">
      <c r="B35" s="62" t="s">
        <v>203</v>
      </c>
      <c r="C35" s="63" t="s">
        <v>166</v>
      </c>
      <c r="D35" s="62" t="s">
        <v>186</v>
      </c>
      <c r="E35" s="62" t="s">
        <v>163</v>
      </c>
      <c r="F35" s="65">
        <v>22</v>
      </c>
      <c r="G35" s="52">
        <f t="shared" si="0"/>
        <v>264</v>
      </c>
      <c r="H35" s="76">
        <v>12</v>
      </c>
      <c r="I35" s="67" t="s">
        <v>164</v>
      </c>
      <c r="J35" s="52" t="s">
        <v>28</v>
      </c>
    </row>
    <row r="36" spans="1:10" x14ac:dyDescent="0.25">
      <c r="B36" s="62" t="s">
        <v>204</v>
      </c>
      <c r="C36" s="63" t="s">
        <v>166</v>
      </c>
      <c r="D36" s="62" t="s">
        <v>162</v>
      </c>
      <c r="E36" s="62" t="s">
        <v>163</v>
      </c>
      <c r="F36" s="65">
        <v>26</v>
      </c>
      <c r="G36" s="52">
        <f t="shared" si="0"/>
        <v>312</v>
      </c>
      <c r="H36" s="76">
        <v>12</v>
      </c>
      <c r="I36" s="67" t="s">
        <v>164</v>
      </c>
      <c r="J36" s="52" t="s">
        <v>28</v>
      </c>
    </row>
    <row r="37" spans="1:10" x14ac:dyDescent="0.25">
      <c r="B37" s="77" t="s">
        <v>205</v>
      </c>
      <c r="C37" s="78" t="s">
        <v>168</v>
      </c>
      <c r="D37" s="77" t="s">
        <v>186</v>
      </c>
      <c r="E37" s="77" t="s">
        <v>163</v>
      </c>
      <c r="F37" s="65">
        <v>24.2</v>
      </c>
      <c r="G37" s="52">
        <f t="shared" si="0"/>
        <v>290.39999999999998</v>
      </c>
      <c r="H37" s="76">
        <v>12</v>
      </c>
      <c r="I37" s="67" t="s">
        <v>164</v>
      </c>
      <c r="J37" s="52" t="s">
        <v>28</v>
      </c>
    </row>
    <row r="38" spans="1:10" ht="15" thickBot="1" x14ac:dyDescent="0.35">
      <c r="B38" s="68" t="s">
        <v>169</v>
      </c>
      <c r="C38" s="146" t="s">
        <v>188</v>
      </c>
      <c r="D38" s="147"/>
      <c r="E38" s="147"/>
      <c r="F38" s="147"/>
      <c r="G38" s="69"/>
      <c r="H38" s="70"/>
      <c r="I38" s="68"/>
      <c r="J38" s="71"/>
    </row>
    <row r="39" spans="1:10" x14ac:dyDescent="0.25">
      <c r="B39" s="62" t="s">
        <v>189</v>
      </c>
      <c r="C39" s="63" t="s">
        <v>190</v>
      </c>
      <c r="D39" s="51" t="s">
        <v>173</v>
      </c>
      <c r="E39" s="51" t="s">
        <v>191</v>
      </c>
      <c r="F39" s="65">
        <v>7.4</v>
      </c>
      <c r="G39" s="52">
        <f>H39*F39</f>
        <v>88.800000000000011</v>
      </c>
      <c r="H39" s="76">
        <v>12</v>
      </c>
      <c r="I39" s="67" t="s">
        <v>164</v>
      </c>
      <c r="J39" s="52" t="s">
        <v>28</v>
      </c>
    </row>
    <row r="40" spans="1:10" x14ac:dyDescent="0.25">
      <c r="B40" s="62" t="s">
        <v>192</v>
      </c>
      <c r="C40" s="63" t="s">
        <v>193</v>
      </c>
      <c r="D40" s="51" t="s">
        <v>173</v>
      </c>
      <c r="E40" s="51" t="s">
        <v>194</v>
      </c>
      <c r="F40" s="65">
        <v>7.65</v>
      </c>
      <c r="G40" s="52">
        <f>H40*F40</f>
        <v>91.800000000000011</v>
      </c>
      <c r="H40" s="79">
        <v>12</v>
      </c>
      <c r="I40" s="67" t="s">
        <v>164</v>
      </c>
      <c r="J40" s="52" t="s">
        <v>28</v>
      </c>
    </row>
    <row r="41" spans="1:10" x14ac:dyDescent="0.25">
      <c r="B41" s="62" t="s">
        <v>206</v>
      </c>
      <c r="C41" s="63" t="s">
        <v>207</v>
      </c>
      <c r="D41" s="51" t="s">
        <v>173</v>
      </c>
      <c r="E41" s="51" t="s">
        <v>208</v>
      </c>
      <c r="F41" s="65">
        <v>7.85</v>
      </c>
      <c r="G41" s="52">
        <f>H41*F41</f>
        <v>94.199999999999989</v>
      </c>
      <c r="H41" s="79">
        <v>12</v>
      </c>
      <c r="I41" s="67" t="s">
        <v>164</v>
      </c>
      <c r="J41" s="52" t="s">
        <v>28</v>
      </c>
    </row>
    <row r="42" spans="1:10" ht="3.6" customHeight="1" x14ac:dyDescent="0.25">
      <c r="F42" s="51"/>
      <c r="G42" s="51"/>
      <c r="H42" s="74"/>
    </row>
    <row r="43" spans="1:10" ht="19.8" thickBot="1" x14ac:dyDescent="0.3">
      <c r="A43" s="57" t="s">
        <v>209</v>
      </c>
      <c r="B43" s="57"/>
      <c r="C43" s="57"/>
      <c r="D43" s="57"/>
      <c r="E43" s="57"/>
      <c r="F43" s="58"/>
      <c r="G43" s="58"/>
      <c r="H43" s="75"/>
      <c r="I43" s="58"/>
      <c r="J43" s="58"/>
    </row>
    <row r="44" spans="1:10" ht="15" thickTop="1" thickBot="1" x14ac:dyDescent="0.3">
      <c r="B44" s="59" t="s">
        <v>10</v>
      </c>
      <c r="C44" s="59" t="s">
        <v>154</v>
      </c>
      <c r="D44" s="59" t="s">
        <v>155</v>
      </c>
      <c r="E44" s="59" t="s">
        <v>156</v>
      </c>
      <c r="F44" s="60" t="s">
        <v>182</v>
      </c>
      <c r="G44" s="60" t="s">
        <v>158</v>
      </c>
      <c r="H44" s="149" t="s">
        <v>159</v>
      </c>
      <c r="I44" s="149"/>
      <c r="J44" s="61" t="s">
        <v>16</v>
      </c>
    </row>
    <row r="45" spans="1:10" x14ac:dyDescent="0.25">
      <c r="B45" s="62" t="s">
        <v>210</v>
      </c>
      <c r="C45" s="63" t="s">
        <v>161</v>
      </c>
      <c r="D45" s="62" t="s">
        <v>186</v>
      </c>
      <c r="E45" s="62" t="s">
        <v>211</v>
      </c>
      <c r="F45" s="65">
        <v>29.9</v>
      </c>
      <c r="G45" s="52">
        <f t="shared" ref="G45:G51" si="1">H45*F45</f>
        <v>358.79999999999995</v>
      </c>
      <c r="H45" s="76">
        <v>12</v>
      </c>
      <c r="I45" s="67" t="s">
        <v>164</v>
      </c>
      <c r="J45" s="52" t="s">
        <v>28</v>
      </c>
    </row>
    <row r="46" spans="1:10" x14ac:dyDescent="0.25">
      <c r="B46" s="62" t="s">
        <v>212</v>
      </c>
      <c r="C46" s="63" t="s">
        <v>166</v>
      </c>
      <c r="D46" s="62" t="s">
        <v>186</v>
      </c>
      <c r="E46" s="62" t="s">
        <v>211</v>
      </c>
      <c r="F46" s="65">
        <v>30.5</v>
      </c>
      <c r="G46" s="52">
        <f>H46*F46</f>
        <v>366</v>
      </c>
      <c r="H46" s="76">
        <v>12</v>
      </c>
      <c r="I46" s="67" t="s">
        <v>164</v>
      </c>
      <c r="J46" s="52" t="s">
        <v>28</v>
      </c>
    </row>
    <row r="47" spans="1:10" x14ac:dyDescent="0.25">
      <c r="B47" s="62" t="s">
        <v>213</v>
      </c>
      <c r="C47" s="63" t="s">
        <v>161</v>
      </c>
      <c r="D47" s="62" t="s">
        <v>201</v>
      </c>
      <c r="E47" s="62" t="s">
        <v>211</v>
      </c>
      <c r="F47" s="65">
        <v>29.9</v>
      </c>
      <c r="G47" s="52">
        <f t="shared" si="1"/>
        <v>358.79999999999995</v>
      </c>
      <c r="H47" s="76">
        <v>12</v>
      </c>
      <c r="I47" s="67" t="s">
        <v>164</v>
      </c>
      <c r="J47" s="52" t="s">
        <v>28</v>
      </c>
    </row>
    <row r="48" spans="1:10" x14ac:dyDescent="0.25">
      <c r="B48" s="62" t="s">
        <v>214</v>
      </c>
      <c r="C48" s="63" t="s">
        <v>161</v>
      </c>
      <c r="D48" s="62" t="s">
        <v>162</v>
      </c>
      <c r="E48" s="62" t="s">
        <v>163</v>
      </c>
      <c r="F48" s="65">
        <v>31.5</v>
      </c>
      <c r="G48" s="52">
        <f t="shared" si="1"/>
        <v>378</v>
      </c>
      <c r="H48" s="76">
        <v>12</v>
      </c>
      <c r="I48" s="67" t="s">
        <v>164</v>
      </c>
      <c r="J48" s="52" t="s">
        <v>28</v>
      </c>
    </row>
    <row r="49" spans="1:10" x14ac:dyDescent="0.25">
      <c r="B49" s="62" t="s">
        <v>215</v>
      </c>
      <c r="C49" s="63" t="s">
        <v>166</v>
      </c>
      <c r="D49" s="62" t="s">
        <v>162</v>
      </c>
      <c r="E49" s="62" t="s">
        <v>163</v>
      </c>
      <c r="F49" s="65">
        <v>32.700000000000003</v>
      </c>
      <c r="G49" s="52">
        <f t="shared" si="1"/>
        <v>392.40000000000003</v>
      </c>
      <c r="H49" s="76">
        <v>12</v>
      </c>
      <c r="I49" s="67" t="s">
        <v>164</v>
      </c>
      <c r="J49" s="52" t="s">
        <v>28</v>
      </c>
    </row>
    <row r="50" spans="1:10" x14ac:dyDescent="0.25">
      <c r="B50" s="62" t="s">
        <v>216</v>
      </c>
      <c r="C50" s="63" t="s">
        <v>161</v>
      </c>
      <c r="D50" s="62" t="s">
        <v>186</v>
      </c>
      <c r="E50" s="62" t="s">
        <v>163</v>
      </c>
      <c r="F50" s="65">
        <v>27.4</v>
      </c>
      <c r="G50" s="52">
        <f t="shared" si="1"/>
        <v>328.79999999999995</v>
      </c>
      <c r="H50" s="76">
        <v>12</v>
      </c>
      <c r="I50" s="67" t="s">
        <v>164</v>
      </c>
      <c r="J50" s="52" t="s">
        <v>28</v>
      </c>
    </row>
    <row r="51" spans="1:10" x14ac:dyDescent="0.25">
      <c r="B51" s="62" t="s">
        <v>217</v>
      </c>
      <c r="C51" s="63" t="s">
        <v>166</v>
      </c>
      <c r="D51" s="62" t="s">
        <v>186</v>
      </c>
      <c r="E51" s="62" t="s">
        <v>163</v>
      </c>
      <c r="F51" s="65">
        <v>28.6</v>
      </c>
      <c r="G51" s="52">
        <f t="shared" si="1"/>
        <v>343.20000000000005</v>
      </c>
      <c r="H51" s="76">
        <v>12</v>
      </c>
      <c r="I51" s="67" t="s">
        <v>164</v>
      </c>
      <c r="J51" s="52" t="s">
        <v>28</v>
      </c>
    </row>
    <row r="52" spans="1:10" ht="15" thickBot="1" x14ac:dyDescent="0.35">
      <c r="B52" s="68" t="s">
        <v>169</v>
      </c>
      <c r="C52" s="146" t="s">
        <v>188</v>
      </c>
      <c r="D52" s="147"/>
      <c r="E52" s="147"/>
      <c r="F52" s="147"/>
      <c r="G52" s="69"/>
      <c r="H52" s="70"/>
      <c r="I52" s="68"/>
      <c r="J52" s="71"/>
    </row>
    <row r="53" spans="1:10" x14ac:dyDescent="0.25">
      <c r="A53" s="26"/>
      <c r="B53" s="62" t="s">
        <v>218</v>
      </c>
      <c r="C53" s="63" t="s">
        <v>219</v>
      </c>
      <c r="D53" s="51" t="s">
        <v>173</v>
      </c>
      <c r="E53" s="51" t="s">
        <v>220</v>
      </c>
      <c r="F53" s="65">
        <v>8.65</v>
      </c>
      <c r="G53" s="52">
        <f>H53*F53</f>
        <v>103.80000000000001</v>
      </c>
      <c r="H53" s="76">
        <v>12</v>
      </c>
      <c r="I53" s="67" t="s">
        <v>164</v>
      </c>
      <c r="J53" s="52" t="s">
        <v>28</v>
      </c>
    </row>
    <row r="54" spans="1:10" x14ac:dyDescent="0.25">
      <c r="A54" s="26"/>
      <c r="B54" s="62" t="s">
        <v>221</v>
      </c>
      <c r="C54" s="63" t="s">
        <v>219</v>
      </c>
      <c r="D54" s="51" t="s">
        <v>222</v>
      </c>
      <c r="E54" s="51" t="s">
        <v>220</v>
      </c>
      <c r="F54" s="65">
        <v>8.65</v>
      </c>
      <c r="G54" s="52">
        <f>H54*F54</f>
        <v>103.80000000000001</v>
      </c>
      <c r="H54" s="76">
        <v>12</v>
      </c>
      <c r="I54" s="67" t="s">
        <v>164</v>
      </c>
      <c r="J54" s="52" t="s">
        <v>28</v>
      </c>
    </row>
    <row r="55" spans="1:10" x14ac:dyDescent="0.25">
      <c r="A55" s="26"/>
      <c r="B55" s="62" t="s">
        <v>223</v>
      </c>
      <c r="C55" s="63" t="s">
        <v>224</v>
      </c>
      <c r="D55" s="51" t="s">
        <v>173</v>
      </c>
      <c r="E55" s="51" t="s">
        <v>225</v>
      </c>
      <c r="F55" s="65">
        <v>8.75</v>
      </c>
      <c r="G55" s="52">
        <f>H55*F55</f>
        <v>105</v>
      </c>
      <c r="H55" s="76">
        <v>12</v>
      </c>
      <c r="I55" s="67" t="s">
        <v>164</v>
      </c>
      <c r="J55" s="52" t="s">
        <v>28</v>
      </c>
    </row>
    <row r="56" spans="1:10" x14ac:dyDescent="0.25">
      <c r="B56" s="62" t="s">
        <v>189</v>
      </c>
      <c r="C56" s="63" t="s">
        <v>190</v>
      </c>
      <c r="D56" s="51" t="s">
        <v>173</v>
      </c>
      <c r="E56" s="51" t="s">
        <v>191</v>
      </c>
      <c r="F56" s="65">
        <v>7.4</v>
      </c>
      <c r="G56" s="52">
        <f>H56*F56</f>
        <v>88.800000000000011</v>
      </c>
      <c r="H56" s="76">
        <v>12</v>
      </c>
      <c r="I56" s="67" t="s">
        <v>164</v>
      </c>
      <c r="J56" s="52" t="s">
        <v>28</v>
      </c>
    </row>
    <row r="57" spans="1:10" x14ac:dyDescent="0.25">
      <c r="A57" s="26"/>
      <c r="B57" s="62" t="s">
        <v>192</v>
      </c>
      <c r="C57" s="63" t="s">
        <v>193</v>
      </c>
      <c r="D57" s="51" t="s">
        <v>173</v>
      </c>
      <c r="E57" s="51" t="s">
        <v>194</v>
      </c>
      <c r="F57" s="65">
        <v>7.65</v>
      </c>
      <c r="G57" s="52">
        <f>H57*F57</f>
        <v>91.800000000000011</v>
      </c>
      <c r="H57" s="76">
        <v>12</v>
      </c>
      <c r="I57" s="67" t="s">
        <v>164</v>
      </c>
      <c r="J57" s="52" t="s">
        <v>28</v>
      </c>
    </row>
    <row r="58" spans="1:10" ht="3.6" customHeight="1" x14ac:dyDescent="0.25">
      <c r="F58" s="51"/>
      <c r="G58" s="51"/>
      <c r="H58" s="74"/>
    </row>
    <row r="59" spans="1:10" ht="19.8" thickBot="1" x14ac:dyDescent="0.3">
      <c r="A59" s="151" t="s">
        <v>226</v>
      </c>
      <c r="B59" s="151"/>
      <c r="C59" s="57"/>
      <c r="D59" s="57"/>
      <c r="E59" s="57"/>
      <c r="F59" s="58"/>
      <c r="G59" s="58"/>
      <c r="H59" s="75"/>
      <c r="I59" s="58"/>
      <c r="J59" s="58"/>
    </row>
    <row r="60" spans="1:10" ht="15" thickTop="1" thickBot="1" x14ac:dyDescent="0.3">
      <c r="B60" s="59" t="s">
        <v>10</v>
      </c>
      <c r="C60" s="59" t="s">
        <v>154</v>
      </c>
      <c r="D60" s="59" t="s">
        <v>155</v>
      </c>
      <c r="E60" s="59" t="s">
        <v>156</v>
      </c>
      <c r="F60" s="60" t="s">
        <v>182</v>
      </c>
      <c r="G60" s="60" t="s">
        <v>158</v>
      </c>
      <c r="H60" s="149" t="s">
        <v>159</v>
      </c>
      <c r="I60" s="149"/>
      <c r="J60" s="61" t="s">
        <v>16</v>
      </c>
    </row>
    <row r="61" spans="1:10" x14ac:dyDescent="0.25">
      <c r="B61" s="62" t="s">
        <v>227</v>
      </c>
      <c r="C61" s="63" t="s">
        <v>161</v>
      </c>
      <c r="D61" s="64" t="s">
        <v>162</v>
      </c>
      <c r="E61" s="64" t="s">
        <v>163</v>
      </c>
      <c r="F61" s="65">
        <v>27.65</v>
      </c>
      <c r="G61" s="52">
        <f>H61*F61</f>
        <v>331.79999999999995</v>
      </c>
      <c r="H61" s="76">
        <v>12</v>
      </c>
      <c r="I61" s="67" t="s">
        <v>164</v>
      </c>
      <c r="J61" s="52" t="s">
        <v>28</v>
      </c>
    </row>
    <row r="62" spans="1:10" x14ac:dyDescent="0.25">
      <c r="B62" s="62" t="s">
        <v>228</v>
      </c>
      <c r="C62" s="63" t="s">
        <v>166</v>
      </c>
      <c r="D62" s="64" t="s">
        <v>162</v>
      </c>
      <c r="E62" s="64" t="s">
        <v>163</v>
      </c>
      <c r="F62" s="65">
        <v>28.85</v>
      </c>
      <c r="G62" s="52">
        <f>H62*F62</f>
        <v>346.20000000000005</v>
      </c>
      <c r="H62" s="76">
        <v>12</v>
      </c>
      <c r="I62" s="67" t="s">
        <v>164</v>
      </c>
      <c r="J62" s="52" t="s">
        <v>28</v>
      </c>
    </row>
    <row r="63" spans="1:10" ht="15" thickBot="1" x14ac:dyDescent="0.35">
      <c r="B63" s="68" t="s">
        <v>169</v>
      </c>
      <c r="C63" s="146" t="s">
        <v>188</v>
      </c>
      <c r="D63" s="147"/>
      <c r="E63" s="147"/>
      <c r="F63" s="147"/>
      <c r="G63" s="69"/>
      <c r="H63" s="70"/>
      <c r="I63" s="68"/>
      <c r="J63" s="71"/>
    </row>
    <row r="64" spans="1:10" x14ac:dyDescent="0.25">
      <c r="B64" s="62" t="s">
        <v>189</v>
      </c>
      <c r="C64" s="63" t="s">
        <v>190</v>
      </c>
      <c r="D64" s="51" t="s">
        <v>173</v>
      </c>
      <c r="E64" s="51" t="s">
        <v>191</v>
      </c>
      <c r="F64" s="65">
        <v>7.4</v>
      </c>
      <c r="G64" s="52">
        <f>H64*F64</f>
        <v>88.800000000000011</v>
      </c>
      <c r="H64" s="76">
        <v>12</v>
      </c>
      <c r="I64" s="67" t="s">
        <v>164</v>
      </c>
      <c r="J64" s="52" t="s">
        <v>28</v>
      </c>
    </row>
    <row r="65" spans="1:10" x14ac:dyDescent="0.25">
      <c r="B65" s="62" t="s">
        <v>192</v>
      </c>
      <c r="C65" s="63" t="s">
        <v>193</v>
      </c>
      <c r="D65" s="51" t="s">
        <v>173</v>
      </c>
      <c r="E65" s="51" t="s">
        <v>194</v>
      </c>
      <c r="F65" s="65">
        <v>7.65</v>
      </c>
      <c r="G65" s="52">
        <f>H65*F65</f>
        <v>91.800000000000011</v>
      </c>
      <c r="H65" s="79">
        <v>12</v>
      </c>
      <c r="I65" s="67" t="s">
        <v>164</v>
      </c>
      <c r="J65" s="52" t="s">
        <v>28</v>
      </c>
    </row>
    <row r="66" spans="1:10" ht="13.2" customHeight="1" x14ac:dyDescent="0.25">
      <c r="A66" s="145"/>
      <c r="B66" s="145"/>
      <c r="C66" s="145"/>
      <c r="D66" s="145"/>
      <c r="E66" s="145"/>
      <c r="F66" s="145"/>
      <c r="G66" s="145"/>
      <c r="H66" s="145"/>
      <c r="I66" s="145"/>
      <c r="J66" s="6"/>
    </row>
    <row r="67" spans="1:10" ht="19.8" thickBot="1" x14ac:dyDescent="0.3">
      <c r="A67" s="57" t="s">
        <v>229</v>
      </c>
      <c r="B67" s="57"/>
      <c r="C67" s="57"/>
      <c r="D67" s="57"/>
      <c r="E67" s="57"/>
      <c r="F67" s="58"/>
      <c r="G67" s="58"/>
      <c r="H67" s="75"/>
      <c r="I67" s="58"/>
      <c r="J67" s="58"/>
    </row>
    <row r="68" spans="1:10" ht="15" thickTop="1" thickBot="1" x14ac:dyDescent="0.3">
      <c r="B68" s="59" t="s">
        <v>10</v>
      </c>
      <c r="C68" s="59" t="s">
        <v>154</v>
      </c>
      <c r="D68" s="59" t="s">
        <v>155</v>
      </c>
      <c r="E68" s="59" t="s">
        <v>156</v>
      </c>
      <c r="F68" s="60" t="s">
        <v>182</v>
      </c>
      <c r="G68" s="60" t="s">
        <v>158</v>
      </c>
      <c r="H68" s="149" t="s">
        <v>159</v>
      </c>
      <c r="I68" s="149"/>
      <c r="J68" s="61" t="s">
        <v>16</v>
      </c>
    </row>
    <row r="69" spans="1:10" x14ac:dyDescent="0.25">
      <c r="B69" s="62" t="s">
        <v>230</v>
      </c>
      <c r="C69" s="63" t="s">
        <v>161</v>
      </c>
      <c r="D69" s="64" t="s">
        <v>186</v>
      </c>
      <c r="E69" s="64" t="s">
        <v>197</v>
      </c>
      <c r="F69" s="65">
        <v>13.2</v>
      </c>
      <c r="G69" s="52">
        <f>H69*F69</f>
        <v>158.39999999999998</v>
      </c>
      <c r="H69" s="76">
        <v>12</v>
      </c>
      <c r="I69" s="67" t="s">
        <v>164</v>
      </c>
      <c r="J69" s="52" t="s">
        <v>28</v>
      </c>
    </row>
    <row r="70" spans="1:10" x14ac:dyDescent="0.25">
      <c r="B70" s="62" t="s">
        <v>231</v>
      </c>
      <c r="C70" s="63" t="s">
        <v>166</v>
      </c>
      <c r="D70" s="64" t="s">
        <v>186</v>
      </c>
      <c r="E70" s="64" t="s">
        <v>199</v>
      </c>
      <c r="F70" s="65">
        <v>13.6</v>
      </c>
      <c r="G70" s="52">
        <f>H70*F70</f>
        <v>163.19999999999999</v>
      </c>
      <c r="H70" s="76">
        <v>12</v>
      </c>
      <c r="I70" s="67" t="s">
        <v>164</v>
      </c>
      <c r="J70" s="52" t="s">
        <v>28</v>
      </c>
    </row>
    <row r="71" spans="1:10" x14ac:dyDescent="0.25">
      <c r="F71" s="51"/>
      <c r="G71" s="51"/>
      <c r="H71" s="74"/>
    </row>
    <row r="72" spans="1:10" ht="19.8" thickBot="1" x14ac:dyDescent="0.3">
      <c r="A72" s="57" t="s">
        <v>232</v>
      </c>
      <c r="B72" s="57"/>
      <c r="C72" s="57"/>
      <c r="D72" s="57"/>
      <c r="E72" s="57"/>
      <c r="F72" s="58"/>
      <c r="G72" s="58"/>
      <c r="H72" s="58"/>
      <c r="I72" s="58"/>
      <c r="J72" s="58"/>
    </row>
    <row r="73" spans="1:10" ht="15.6" customHeight="1" thickTop="1" thickBot="1" x14ac:dyDescent="0.3">
      <c r="B73" s="59" t="s">
        <v>10</v>
      </c>
      <c r="C73" s="59" t="s">
        <v>154</v>
      </c>
      <c r="D73" s="59" t="s">
        <v>155</v>
      </c>
      <c r="E73" s="59" t="s">
        <v>156</v>
      </c>
      <c r="F73" s="60" t="s">
        <v>157</v>
      </c>
      <c r="G73" s="60" t="s">
        <v>158</v>
      </c>
      <c r="H73" s="149" t="s">
        <v>159</v>
      </c>
      <c r="I73" s="149"/>
      <c r="J73" s="61" t="s">
        <v>16</v>
      </c>
    </row>
    <row r="74" spans="1:10" x14ac:dyDescent="0.25">
      <c r="B74" s="62" t="s">
        <v>233</v>
      </c>
      <c r="C74" s="63" t="s">
        <v>161</v>
      </c>
      <c r="D74" s="64" t="s">
        <v>162</v>
      </c>
      <c r="E74" s="64" t="s">
        <v>163</v>
      </c>
      <c r="F74" s="65">
        <v>32.450000000000003</v>
      </c>
      <c r="G74" s="65">
        <f>H74*F74</f>
        <v>389.40000000000003</v>
      </c>
      <c r="H74" s="66">
        <v>12</v>
      </c>
      <c r="I74" s="67" t="s">
        <v>164</v>
      </c>
      <c r="J74" s="52" t="s">
        <v>28</v>
      </c>
    </row>
    <row r="75" spans="1:10" x14ac:dyDescent="0.25">
      <c r="B75" s="62" t="s">
        <v>234</v>
      </c>
      <c r="C75" s="63" t="s">
        <v>168</v>
      </c>
      <c r="D75" s="64" t="s">
        <v>162</v>
      </c>
      <c r="E75" s="64" t="s">
        <v>163</v>
      </c>
      <c r="F75" s="65">
        <v>34.200000000000003</v>
      </c>
      <c r="G75" s="65">
        <f>H75*F75</f>
        <v>410.40000000000003</v>
      </c>
      <c r="H75" s="66">
        <v>12</v>
      </c>
      <c r="I75" s="67" t="s">
        <v>164</v>
      </c>
      <c r="J75" s="52" t="s">
        <v>28</v>
      </c>
    </row>
    <row r="76" spans="1:10" ht="15" thickBot="1" x14ac:dyDescent="0.35">
      <c r="B76" s="68" t="s">
        <v>169</v>
      </c>
      <c r="C76" s="146" t="s">
        <v>170</v>
      </c>
      <c r="D76" s="147"/>
      <c r="E76" s="147"/>
      <c r="F76" s="147"/>
      <c r="G76" s="69"/>
      <c r="H76" s="70"/>
      <c r="I76" s="68"/>
      <c r="J76" s="71"/>
    </row>
    <row r="77" spans="1:10" x14ac:dyDescent="0.25">
      <c r="B77" s="62" t="s">
        <v>171</v>
      </c>
      <c r="C77" s="63" t="s">
        <v>172</v>
      </c>
      <c r="D77" s="51" t="s">
        <v>173</v>
      </c>
      <c r="E77" s="51" t="s">
        <v>174</v>
      </c>
      <c r="F77" s="65">
        <v>8.1999999999999993</v>
      </c>
      <c r="G77" s="52">
        <f>H77*F77</f>
        <v>98.399999999999991</v>
      </c>
      <c r="H77" s="73">
        <v>12</v>
      </c>
      <c r="I77" s="67" t="s">
        <v>164</v>
      </c>
      <c r="J77" s="52" t="s">
        <v>28</v>
      </c>
    </row>
    <row r="78" spans="1:10" x14ac:dyDescent="0.25">
      <c r="B78" s="62" t="s">
        <v>178</v>
      </c>
      <c r="C78" s="63" t="s">
        <v>179</v>
      </c>
      <c r="D78" s="51" t="s">
        <v>173</v>
      </c>
      <c r="E78" s="51" t="s">
        <v>180</v>
      </c>
      <c r="F78" s="65">
        <v>8.6</v>
      </c>
      <c r="G78" s="52">
        <f>H78*F78</f>
        <v>103.19999999999999</v>
      </c>
      <c r="H78" s="73">
        <v>12</v>
      </c>
      <c r="I78" s="67" t="s">
        <v>164</v>
      </c>
      <c r="J78" s="52" t="s">
        <v>28</v>
      </c>
    </row>
    <row r="79" spans="1:10" ht="13.2" customHeight="1" x14ac:dyDescent="0.25">
      <c r="F79" s="51"/>
      <c r="G79" s="51"/>
      <c r="H79" s="74"/>
    </row>
    <row r="80" spans="1:10" ht="19.8" thickBot="1" x14ac:dyDescent="0.3">
      <c r="A80" s="151" t="s">
        <v>235</v>
      </c>
      <c r="B80" s="151"/>
      <c r="C80" s="57"/>
      <c r="D80" s="57"/>
      <c r="E80" s="57"/>
      <c r="F80" s="58"/>
      <c r="G80" s="58"/>
      <c r="H80" s="75"/>
      <c r="I80" s="58"/>
      <c r="J80" s="58"/>
    </row>
    <row r="81" spans="2:10" ht="15" thickTop="1" thickBot="1" x14ac:dyDescent="0.3">
      <c r="B81" s="59" t="s">
        <v>10</v>
      </c>
      <c r="C81" s="59" t="s">
        <v>154</v>
      </c>
      <c r="D81" s="59" t="s">
        <v>155</v>
      </c>
      <c r="E81" s="59" t="s">
        <v>156</v>
      </c>
      <c r="F81" s="60" t="s">
        <v>182</v>
      </c>
      <c r="G81" s="60" t="s">
        <v>158</v>
      </c>
      <c r="H81" s="149" t="s">
        <v>159</v>
      </c>
      <c r="I81" s="149"/>
      <c r="J81" s="61" t="s">
        <v>16</v>
      </c>
    </row>
    <row r="82" spans="2:10" x14ac:dyDescent="0.25">
      <c r="B82" s="77" t="s">
        <v>236</v>
      </c>
      <c r="C82" s="78" t="s">
        <v>161</v>
      </c>
      <c r="D82" s="77" t="s">
        <v>237</v>
      </c>
      <c r="E82" s="77" t="s">
        <v>163</v>
      </c>
      <c r="F82" s="65">
        <v>29</v>
      </c>
      <c r="G82" s="65">
        <f t="shared" ref="G82:G90" si="2">H82*F82</f>
        <v>348</v>
      </c>
      <c r="H82" s="76">
        <v>12</v>
      </c>
      <c r="I82" s="80" t="s">
        <v>164</v>
      </c>
      <c r="J82" s="65" t="s">
        <v>28</v>
      </c>
    </row>
    <row r="83" spans="2:10" x14ac:dyDescent="0.25">
      <c r="B83" s="77" t="s">
        <v>238</v>
      </c>
      <c r="C83" s="78" t="s">
        <v>161</v>
      </c>
      <c r="D83" s="77" t="s">
        <v>239</v>
      </c>
      <c r="E83" s="77" t="s">
        <v>163</v>
      </c>
      <c r="F83" s="65">
        <v>29</v>
      </c>
      <c r="G83" s="65">
        <f t="shared" si="2"/>
        <v>348</v>
      </c>
      <c r="H83" s="76">
        <v>12</v>
      </c>
      <c r="I83" s="80" t="s">
        <v>164</v>
      </c>
      <c r="J83" s="65" t="s">
        <v>28</v>
      </c>
    </row>
    <row r="84" spans="2:10" x14ac:dyDescent="0.25">
      <c r="B84" s="77" t="s">
        <v>240</v>
      </c>
      <c r="C84" s="78" t="s">
        <v>166</v>
      </c>
      <c r="D84" s="77" t="s">
        <v>239</v>
      </c>
      <c r="E84" s="77" t="s">
        <v>163</v>
      </c>
      <c r="F84" s="65">
        <v>29.6</v>
      </c>
      <c r="G84" s="65">
        <f t="shared" si="2"/>
        <v>355.20000000000005</v>
      </c>
      <c r="H84" s="76">
        <v>12</v>
      </c>
      <c r="I84" s="80" t="s">
        <v>164</v>
      </c>
      <c r="J84" s="65" t="s">
        <v>28</v>
      </c>
    </row>
    <row r="85" spans="2:10" x14ac:dyDescent="0.25">
      <c r="B85" s="77" t="s">
        <v>241</v>
      </c>
      <c r="C85" s="78" t="s">
        <v>161</v>
      </c>
      <c r="D85" s="77" t="s">
        <v>242</v>
      </c>
      <c r="E85" s="77" t="s">
        <v>163</v>
      </c>
      <c r="F85" s="65">
        <v>29</v>
      </c>
      <c r="G85" s="65">
        <f t="shared" si="2"/>
        <v>348</v>
      </c>
      <c r="H85" s="76">
        <v>12</v>
      </c>
      <c r="I85" s="80" t="s">
        <v>164</v>
      </c>
      <c r="J85" s="65" t="s">
        <v>28</v>
      </c>
    </row>
    <row r="86" spans="2:10" x14ac:dyDescent="0.25">
      <c r="B86" s="77" t="s">
        <v>243</v>
      </c>
      <c r="C86" s="78" t="s">
        <v>166</v>
      </c>
      <c r="D86" s="77" t="s">
        <v>242</v>
      </c>
      <c r="E86" s="77" t="s">
        <v>163</v>
      </c>
      <c r="F86" s="65">
        <v>29.6</v>
      </c>
      <c r="G86" s="65">
        <f t="shared" si="2"/>
        <v>355.20000000000005</v>
      </c>
      <c r="H86" s="76">
        <v>12</v>
      </c>
      <c r="I86" s="80" t="s">
        <v>164</v>
      </c>
      <c r="J86" s="65" t="s">
        <v>28</v>
      </c>
    </row>
    <row r="87" spans="2:10" x14ac:dyDescent="0.25">
      <c r="B87" s="77" t="s">
        <v>244</v>
      </c>
      <c r="C87" s="78" t="s">
        <v>161</v>
      </c>
      <c r="D87" s="77" t="s">
        <v>245</v>
      </c>
      <c r="E87" s="77" t="s">
        <v>163</v>
      </c>
      <c r="F87" s="65">
        <v>29</v>
      </c>
      <c r="G87" s="65">
        <f t="shared" si="2"/>
        <v>348</v>
      </c>
      <c r="H87" s="76">
        <v>12</v>
      </c>
      <c r="I87" s="80" t="s">
        <v>164</v>
      </c>
      <c r="J87" s="65" t="s">
        <v>28</v>
      </c>
    </row>
    <row r="88" spans="2:10" x14ac:dyDescent="0.25">
      <c r="B88" s="77" t="s">
        <v>246</v>
      </c>
      <c r="C88" s="78" t="s">
        <v>166</v>
      </c>
      <c r="D88" s="77" t="s">
        <v>245</v>
      </c>
      <c r="E88" s="77" t="s">
        <v>163</v>
      </c>
      <c r="F88" s="65">
        <v>29.6</v>
      </c>
      <c r="G88" s="65">
        <f t="shared" si="2"/>
        <v>355.20000000000005</v>
      </c>
      <c r="H88" s="76">
        <v>12</v>
      </c>
      <c r="I88" s="80" t="s">
        <v>164</v>
      </c>
      <c r="J88" s="65" t="s">
        <v>28</v>
      </c>
    </row>
    <row r="89" spans="2:10" x14ac:dyDescent="0.25">
      <c r="B89" s="77" t="s">
        <v>247</v>
      </c>
      <c r="C89" s="78" t="s">
        <v>161</v>
      </c>
      <c r="D89" s="77" t="s">
        <v>248</v>
      </c>
      <c r="E89" s="77" t="s">
        <v>163</v>
      </c>
      <c r="F89" s="65">
        <v>29</v>
      </c>
      <c r="G89" s="65">
        <f t="shared" si="2"/>
        <v>348</v>
      </c>
      <c r="H89" s="76">
        <v>12</v>
      </c>
      <c r="I89" s="80" t="s">
        <v>164</v>
      </c>
      <c r="J89" s="65" t="s">
        <v>28</v>
      </c>
    </row>
    <row r="90" spans="2:10" x14ac:dyDescent="0.25">
      <c r="B90" s="62" t="s">
        <v>249</v>
      </c>
      <c r="C90" s="63" t="s">
        <v>166</v>
      </c>
      <c r="D90" s="62" t="s">
        <v>248</v>
      </c>
      <c r="E90" s="62" t="s">
        <v>163</v>
      </c>
      <c r="F90" s="65">
        <v>29.6</v>
      </c>
      <c r="G90" s="52">
        <f t="shared" si="2"/>
        <v>355.20000000000005</v>
      </c>
      <c r="H90" s="76">
        <v>12</v>
      </c>
      <c r="I90" s="67" t="s">
        <v>164</v>
      </c>
      <c r="J90" s="52" t="s">
        <v>28</v>
      </c>
    </row>
    <row r="91" spans="2:10" ht="15" thickBot="1" x14ac:dyDescent="0.35">
      <c r="B91" s="68" t="s">
        <v>169</v>
      </c>
      <c r="C91" s="146" t="s">
        <v>188</v>
      </c>
      <c r="D91" s="147"/>
      <c r="E91" s="147"/>
      <c r="F91" s="147"/>
      <c r="G91" s="69"/>
      <c r="H91" s="70"/>
      <c r="I91" s="68"/>
      <c r="J91" s="71"/>
    </row>
    <row r="92" spans="2:10" x14ac:dyDescent="0.25">
      <c r="B92" s="62" t="s">
        <v>250</v>
      </c>
      <c r="C92" s="63" t="s">
        <v>190</v>
      </c>
      <c r="D92" s="51" t="s">
        <v>222</v>
      </c>
      <c r="E92" s="51" t="s">
        <v>191</v>
      </c>
      <c r="F92" s="65">
        <v>7.4</v>
      </c>
      <c r="G92" s="52">
        <f t="shared" ref="G92:G93" si="3">H92*F92</f>
        <v>88.800000000000011</v>
      </c>
      <c r="H92" s="76">
        <v>12</v>
      </c>
      <c r="I92" s="67" t="s">
        <v>164</v>
      </c>
      <c r="J92" s="52" t="s">
        <v>28</v>
      </c>
    </row>
    <row r="93" spans="2:10" x14ac:dyDescent="0.25">
      <c r="B93" s="62" t="s">
        <v>251</v>
      </c>
      <c r="C93" s="63" t="s">
        <v>193</v>
      </c>
      <c r="D93" s="51" t="s">
        <v>222</v>
      </c>
      <c r="E93" s="51" t="s">
        <v>194</v>
      </c>
      <c r="F93" s="65">
        <v>7.65</v>
      </c>
      <c r="G93" s="52">
        <f t="shared" si="3"/>
        <v>91.800000000000011</v>
      </c>
      <c r="H93" s="76">
        <v>12</v>
      </c>
      <c r="I93" s="67" t="s">
        <v>164</v>
      </c>
      <c r="J93" s="52" t="s">
        <v>28</v>
      </c>
    </row>
    <row r="94" spans="2:10" x14ac:dyDescent="0.25">
      <c r="B94" s="62" t="s">
        <v>189</v>
      </c>
      <c r="C94" s="63" t="s">
        <v>190</v>
      </c>
      <c r="D94" s="51" t="s">
        <v>173</v>
      </c>
      <c r="E94" s="51" t="s">
        <v>191</v>
      </c>
      <c r="F94" s="65">
        <v>7.4</v>
      </c>
      <c r="G94" s="52">
        <f>H94*F94</f>
        <v>88.800000000000011</v>
      </c>
      <c r="H94" s="76">
        <v>12</v>
      </c>
      <c r="I94" s="67" t="s">
        <v>164</v>
      </c>
      <c r="J94" s="52" t="s">
        <v>28</v>
      </c>
    </row>
    <row r="95" spans="2:10" x14ac:dyDescent="0.25">
      <c r="B95" s="62" t="s">
        <v>192</v>
      </c>
      <c r="C95" s="63" t="s">
        <v>193</v>
      </c>
      <c r="D95" s="51" t="s">
        <v>173</v>
      </c>
      <c r="E95" s="51" t="s">
        <v>194</v>
      </c>
      <c r="F95" s="65">
        <v>7.65</v>
      </c>
      <c r="G95" s="52">
        <f>H95*F95</f>
        <v>91.800000000000011</v>
      </c>
      <c r="H95" s="79">
        <v>12</v>
      </c>
      <c r="I95" s="67" t="s">
        <v>164</v>
      </c>
      <c r="J95" s="52" t="s">
        <v>28</v>
      </c>
    </row>
    <row r="96" spans="2:10" x14ac:dyDescent="0.25">
      <c r="F96" s="51"/>
      <c r="G96" s="51"/>
      <c r="H96" s="74"/>
    </row>
    <row r="97" spans="1:10" ht="19.8" thickBot="1" x14ac:dyDescent="0.3">
      <c r="A97" s="57" t="s">
        <v>252</v>
      </c>
      <c r="B97" s="57"/>
      <c r="C97" s="57"/>
      <c r="D97" s="57"/>
      <c r="E97" s="57"/>
      <c r="F97" s="58"/>
      <c r="G97" s="58"/>
      <c r="H97" s="75"/>
      <c r="I97" s="58"/>
      <c r="J97" s="58"/>
    </row>
    <row r="98" spans="1:10" ht="15" thickTop="1" thickBot="1" x14ac:dyDescent="0.3">
      <c r="B98" s="59" t="s">
        <v>10</v>
      </c>
      <c r="C98" s="59" t="s">
        <v>154</v>
      </c>
      <c r="D98" s="59" t="s">
        <v>155</v>
      </c>
      <c r="E98" s="59" t="s">
        <v>156</v>
      </c>
      <c r="F98" s="60" t="s">
        <v>182</v>
      </c>
      <c r="G98" s="60" t="s">
        <v>158</v>
      </c>
      <c r="H98" s="149" t="s">
        <v>159</v>
      </c>
      <c r="I98" s="149"/>
      <c r="J98" s="61" t="s">
        <v>16</v>
      </c>
    </row>
    <row r="99" spans="1:10" x14ac:dyDescent="0.25">
      <c r="B99" s="62" t="s">
        <v>253</v>
      </c>
      <c r="C99" s="63" t="s">
        <v>161</v>
      </c>
      <c r="D99" s="62" t="s">
        <v>186</v>
      </c>
      <c r="E99" s="62" t="s">
        <v>163</v>
      </c>
      <c r="F99" s="65">
        <v>24.8</v>
      </c>
      <c r="G99" s="52">
        <f>H99*F99</f>
        <v>297.60000000000002</v>
      </c>
      <c r="H99" s="76">
        <v>12</v>
      </c>
      <c r="I99" s="67" t="s">
        <v>164</v>
      </c>
      <c r="J99" s="52" t="s">
        <v>28</v>
      </c>
    </row>
    <row r="100" spans="1:10" x14ac:dyDescent="0.25">
      <c r="B100" s="62" t="s">
        <v>254</v>
      </c>
      <c r="C100" s="63" t="s">
        <v>166</v>
      </c>
      <c r="D100" s="62" t="s">
        <v>186</v>
      </c>
      <c r="E100" s="62" t="s">
        <v>163</v>
      </c>
      <c r="F100" s="65">
        <f>24.8+1.2</f>
        <v>26</v>
      </c>
      <c r="G100" s="52">
        <f>H100*F100</f>
        <v>312</v>
      </c>
      <c r="H100" s="76">
        <v>12</v>
      </c>
      <c r="I100" s="67" t="s">
        <v>164</v>
      </c>
      <c r="J100" s="52" t="s">
        <v>28</v>
      </c>
    </row>
    <row r="101" spans="1:10" ht="15" thickBot="1" x14ac:dyDescent="0.35">
      <c r="B101" s="68" t="s">
        <v>169</v>
      </c>
      <c r="C101" s="146" t="s">
        <v>188</v>
      </c>
      <c r="D101" s="147"/>
      <c r="E101" s="147"/>
      <c r="F101" s="147"/>
      <c r="G101" s="69"/>
      <c r="H101" s="70"/>
      <c r="I101" s="68"/>
      <c r="J101" s="71"/>
    </row>
    <row r="102" spans="1:10" x14ac:dyDescent="0.25">
      <c r="B102" s="62" t="s">
        <v>189</v>
      </c>
      <c r="C102" s="63" t="s">
        <v>190</v>
      </c>
      <c r="D102" s="51" t="s">
        <v>173</v>
      </c>
      <c r="E102" s="51" t="s">
        <v>191</v>
      </c>
      <c r="F102" s="65">
        <v>7.4</v>
      </c>
      <c r="G102" s="52">
        <f>H102*F102</f>
        <v>88.800000000000011</v>
      </c>
      <c r="H102" s="76">
        <v>12</v>
      </c>
      <c r="I102" s="67" t="s">
        <v>164</v>
      </c>
      <c r="J102" s="52" t="s">
        <v>28</v>
      </c>
    </row>
    <row r="103" spans="1:10" x14ac:dyDescent="0.25">
      <c r="B103" s="62" t="s">
        <v>192</v>
      </c>
      <c r="C103" s="63" t="s">
        <v>193</v>
      </c>
      <c r="D103" s="51" t="s">
        <v>173</v>
      </c>
      <c r="E103" s="51" t="s">
        <v>194</v>
      </c>
      <c r="F103" s="65">
        <v>7.65</v>
      </c>
      <c r="G103" s="52">
        <f>H103*F103</f>
        <v>91.800000000000011</v>
      </c>
      <c r="H103" s="79">
        <v>12</v>
      </c>
      <c r="I103" s="67" t="s">
        <v>164</v>
      </c>
      <c r="J103" s="52" t="s">
        <v>28</v>
      </c>
    </row>
    <row r="104" spans="1:10" x14ac:dyDescent="0.25">
      <c r="F104" s="51"/>
      <c r="G104" s="51"/>
      <c r="H104" s="74"/>
    </row>
    <row r="105" spans="1:10" ht="19.8" thickBot="1" x14ac:dyDescent="0.3">
      <c r="A105" s="151" t="s">
        <v>255</v>
      </c>
      <c r="B105" s="151"/>
      <c r="C105" s="57"/>
      <c r="D105" s="57"/>
      <c r="E105" s="57"/>
      <c r="F105" s="58"/>
      <c r="G105" s="58"/>
      <c r="H105" s="75"/>
      <c r="I105" s="58"/>
      <c r="J105" s="58"/>
    </row>
    <row r="106" spans="1:10" ht="15" thickTop="1" thickBot="1" x14ac:dyDescent="0.3">
      <c r="B106" s="59" t="s">
        <v>10</v>
      </c>
      <c r="C106" s="59" t="s">
        <v>154</v>
      </c>
      <c r="D106" s="59" t="s">
        <v>155</v>
      </c>
      <c r="E106" s="59" t="s">
        <v>156</v>
      </c>
      <c r="F106" s="60" t="s">
        <v>182</v>
      </c>
      <c r="G106" s="60" t="s">
        <v>158</v>
      </c>
      <c r="H106" s="149" t="s">
        <v>159</v>
      </c>
      <c r="I106" s="149"/>
      <c r="J106" s="61" t="s">
        <v>16</v>
      </c>
    </row>
    <row r="107" spans="1:10" x14ac:dyDescent="0.25">
      <c r="B107" s="62" t="s">
        <v>256</v>
      </c>
      <c r="C107" s="63" t="s">
        <v>161</v>
      </c>
      <c r="D107" s="62" t="s">
        <v>186</v>
      </c>
      <c r="E107" s="51" t="s">
        <v>197</v>
      </c>
      <c r="F107" s="65">
        <v>15</v>
      </c>
      <c r="G107" s="52">
        <f>H107*F107</f>
        <v>180</v>
      </c>
      <c r="H107" s="76">
        <v>12</v>
      </c>
      <c r="I107" s="67" t="s">
        <v>164</v>
      </c>
      <c r="J107" s="52" t="s">
        <v>28</v>
      </c>
    </row>
    <row r="108" spans="1:10" x14ac:dyDescent="0.25">
      <c r="B108" s="62" t="s">
        <v>257</v>
      </c>
      <c r="C108" s="63" t="s">
        <v>161</v>
      </c>
      <c r="D108" s="62" t="s">
        <v>186</v>
      </c>
      <c r="E108" s="62" t="s">
        <v>163</v>
      </c>
      <c r="F108" s="65">
        <v>21.4</v>
      </c>
      <c r="G108" s="52">
        <f>H108*F108</f>
        <v>256.79999999999995</v>
      </c>
      <c r="H108" s="76">
        <v>12</v>
      </c>
      <c r="I108" s="67" t="s">
        <v>164</v>
      </c>
      <c r="J108" s="52" t="s">
        <v>28</v>
      </c>
    </row>
    <row r="109" spans="1:10" x14ac:dyDescent="0.25">
      <c r="B109" s="62" t="s">
        <v>258</v>
      </c>
      <c r="C109" s="63" t="s">
        <v>166</v>
      </c>
      <c r="D109" s="62" t="s">
        <v>186</v>
      </c>
      <c r="E109" s="62" t="s">
        <v>199</v>
      </c>
      <c r="F109" s="65">
        <v>15.65</v>
      </c>
      <c r="G109" s="52">
        <f>H109*F109</f>
        <v>187.8</v>
      </c>
      <c r="H109" s="76">
        <v>12</v>
      </c>
      <c r="I109" s="67" t="s">
        <v>164</v>
      </c>
      <c r="J109" s="52" t="s">
        <v>28</v>
      </c>
    </row>
    <row r="110" spans="1:10" ht="15" thickBot="1" x14ac:dyDescent="0.35">
      <c r="B110" s="68" t="s">
        <v>169</v>
      </c>
      <c r="C110" s="146" t="s">
        <v>188</v>
      </c>
      <c r="D110" s="147"/>
      <c r="E110" s="147"/>
      <c r="F110" s="147"/>
      <c r="G110" s="69"/>
      <c r="H110" s="70"/>
      <c r="I110" s="68"/>
      <c r="J110" s="71"/>
    </row>
    <row r="111" spans="1:10" x14ac:dyDescent="0.25">
      <c r="B111" s="62" t="s">
        <v>189</v>
      </c>
      <c r="C111" s="63" t="s">
        <v>190</v>
      </c>
      <c r="D111" s="51" t="s">
        <v>173</v>
      </c>
      <c r="E111" s="51" t="s">
        <v>191</v>
      </c>
      <c r="F111" s="65">
        <v>7.4</v>
      </c>
      <c r="G111" s="52">
        <f>H111*F111</f>
        <v>88.800000000000011</v>
      </c>
      <c r="H111" s="76">
        <v>12</v>
      </c>
      <c r="I111" s="67" t="s">
        <v>164</v>
      </c>
      <c r="J111" s="52" t="s">
        <v>28</v>
      </c>
    </row>
    <row r="112" spans="1:10" x14ac:dyDescent="0.25">
      <c r="F112" s="51"/>
      <c r="G112" s="51"/>
      <c r="H112" s="74"/>
    </row>
    <row r="113" spans="1:10" ht="19.8" thickBot="1" x14ac:dyDescent="0.3">
      <c r="A113" s="57" t="s">
        <v>259</v>
      </c>
      <c r="B113" s="57"/>
      <c r="C113" s="57"/>
      <c r="D113" s="57"/>
      <c r="E113" s="57"/>
      <c r="F113" s="58"/>
      <c r="G113" s="58"/>
      <c r="H113" s="75"/>
      <c r="I113" s="58"/>
      <c r="J113" s="58"/>
    </row>
    <row r="114" spans="1:10" ht="15" thickTop="1" thickBot="1" x14ac:dyDescent="0.3">
      <c r="B114" s="59" t="s">
        <v>10</v>
      </c>
      <c r="C114" s="59" t="s">
        <v>154</v>
      </c>
      <c r="D114" s="59" t="s">
        <v>155</v>
      </c>
      <c r="E114" s="59" t="s">
        <v>156</v>
      </c>
      <c r="F114" s="60" t="s">
        <v>182</v>
      </c>
      <c r="G114" s="60" t="s">
        <v>158</v>
      </c>
      <c r="H114" s="149" t="s">
        <v>159</v>
      </c>
      <c r="I114" s="149"/>
      <c r="J114" s="61" t="s">
        <v>16</v>
      </c>
    </row>
    <row r="115" spans="1:10" x14ac:dyDescent="0.25">
      <c r="B115" s="62" t="s">
        <v>260</v>
      </c>
      <c r="C115" s="81" t="s">
        <v>161</v>
      </c>
      <c r="D115" s="62" t="s">
        <v>186</v>
      </c>
      <c r="E115" s="62" t="s">
        <v>197</v>
      </c>
      <c r="F115" s="65">
        <v>19.3</v>
      </c>
      <c r="G115" s="52">
        <f>H115*F115</f>
        <v>231.60000000000002</v>
      </c>
      <c r="H115" s="76">
        <v>12</v>
      </c>
      <c r="I115" s="67" t="s">
        <v>164</v>
      </c>
      <c r="J115" s="52" t="s">
        <v>20</v>
      </c>
    </row>
    <row r="116" spans="1:10" x14ac:dyDescent="0.25">
      <c r="F116" s="51"/>
      <c r="G116" s="51"/>
      <c r="H116" s="74"/>
    </row>
    <row r="117" spans="1:10" ht="19.8" thickBot="1" x14ac:dyDescent="0.3">
      <c r="A117" s="151" t="s">
        <v>261</v>
      </c>
      <c r="B117" s="151"/>
      <c r="C117" s="57"/>
      <c r="D117" s="57"/>
      <c r="E117" s="57"/>
      <c r="F117" s="58"/>
      <c r="G117" s="58"/>
      <c r="H117" s="75"/>
      <c r="I117" s="58"/>
      <c r="J117" s="58"/>
    </row>
    <row r="118" spans="1:10" ht="15" thickTop="1" thickBot="1" x14ac:dyDescent="0.3">
      <c r="B118" s="59" t="s">
        <v>10</v>
      </c>
      <c r="C118" s="59" t="s">
        <v>154</v>
      </c>
      <c r="D118" s="59" t="s">
        <v>155</v>
      </c>
      <c r="E118" s="59" t="s">
        <v>156</v>
      </c>
      <c r="F118" s="60" t="s">
        <v>182</v>
      </c>
      <c r="G118" s="60" t="s">
        <v>158</v>
      </c>
      <c r="H118" s="149" t="s">
        <v>159</v>
      </c>
      <c r="I118" s="149"/>
      <c r="J118" s="61" t="s">
        <v>16</v>
      </c>
    </row>
    <row r="119" spans="1:10" x14ac:dyDescent="0.25">
      <c r="B119" s="62" t="s">
        <v>262</v>
      </c>
      <c r="C119" s="63" t="s">
        <v>161</v>
      </c>
      <c r="D119" s="64" t="s">
        <v>186</v>
      </c>
      <c r="E119" s="64" t="s">
        <v>163</v>
      </c>
      <c r="F119" s="65">
        <v>24.8</v>
      </c>
      <c r="G119" s="52">
        <f>H119*F119</f>
        <v>297.60000000000002</v>
      </c>
      <c r="H119" s="76">
        <v>12</v>
      </c>
      <c r="I119" s="67" t="s">
        <v>164</v>
      </c>
      <c r="J119" s="52" t="s">
        <v>28</v>
      </c>
    </row>
    <row r="120" spans="1:10" x14ac:dyDescent="0.25">
      <c r="B120" s="62" t="s">
        <v>263</v>
      </c>
      <c r="C120" s="63" t="s">
        <v>166</v>
      </c>
      <c r="D120" s="64" t="s">
        <v>186</v>
      </c>
      <c r="E120" s="64" t="s">
        <v>163</v>
      </c>
      <c r="F120" s="65">
        <v>25.6</v>
      </c>
      <c r="G120" s="52">
        <f>H120*F120</f>
        <v>307.20000000000005</v>
      </c>
      <c r="H120" s="76">
        <v>12</v>
      </c>
      <c r="I120" s="67" t="s">
        <v>164</v>
      </c>
      <c r="J120" s="52" t="s">
        <v>28</v>
      </c>
    </row>
    <row r="121" spans="1:10" ht="15" thickBot="1" x14ac:dyDescent="0.35">
      <c r="B121" s="68" t="s">
        <v>169</v>
      </c>
      <c r="C121" s="146" t="s">
        <v>188</v>
      </c>
      <c r="D121" s="147"/>
      <c r="E121" s="147"/>
      <c r="F121" s="147"/>
      <c r="G121" s="69"/>
      <c r="H121" s="70"/>
      <c r="I121" s="68"/>
      <c r="J121" s="71"/>
    </row>
    <row r="122" spans="1:10" x14ac:dyDescent="0.25">
      <c r="B122" s="62" t="s">
        <v>264</v>
      </c>
      <c r="C122" s="63" t="s">
        <v>265</v>
      </c>
      <c r="D122" s="51" t="s">
        <v>173</v>
      </c>
      <c r="E122" s="51" t="s">
        <v>266</v>
      </c>
      <c r="F122" s="52">
        <v>10.7</v>
      </c>
      <c r="G122" s="52">
        <f>H122*F122</f>
        <v>128.39999999999998</v>
      </c>
      <c r="H122" s="79">
        <v>12</v>
      </c>
      <c r="I122" s="67" t="s">
        <v>164</v>
      </c>
      <c r="J122" s="52" t="s">
        <v>28</v>
      </c>
    </row>
    <row r="123" spans="1:10" x14ac:dyDescent="0.25">
      <c r="B123" s="62" t="s">
        <v>267</v>
      </c>
      <c r="C123" s="63" t="s">
        <v>265</v>
      </c>
      <c r="D123" s="51" t="s">
        <v>173</v>
      </c>
      <c r="E123" s="51" t="s">
        <v>266</v>
      </c>
      <c r="F123" s="52">
        <v>11.15</v>
      </c>
      <c r="G123" s="52">
        <f>H123*F123</f>
        <v>133.80000000000001</v>
      </c>
      <c r="H123" s="79">
        <v>12</v>
      </c>
      <c r="I123" s="67" t="s">
        <v>164</v>
      </c>
      <c r="J123" s="52" t="s">
        <v>28</v>
      </c>
    </row>
    <row r="124" spans="1:10" x14ac:dyDescent="0.25">
      <c r="F124" s="51"/>
      <c r="G124" s="51"/>
      <c r="H124" s="74"/>
    </row>
    <row r="125" spans="1:10" ht="19.8" thickBot="1" x14ac:dyDescent="0.3">
      <c r="A125" s="151" t="s">
        <v>268</v>
      </c>
      <c r="B125" s="151"/>
      <c r="C125" s="57"/>
      <c r="D125" s="57"/>
      <c r="E125" s="57"/>
      <c r="F125" s="58"/>
      <c r="G125" s="58"/>
      <c r="H125" s="75"/>
      <c r="I125" s="58"/>
      <c r="J125" s="58"/>
    </row>
    <row r="126" spans="1:10" ht="15" thickTop="1" thickBot="1" x14ac:dyDescent="0.3">
      <c r="B126" s="59" t="s">
        <v>10</v>
      </c>
      <c r="C126" s="59" t="s">
        <v>154</v>
      </c>
      <c r="D126" s="59" t="s">
        <v>155</v>
      </c>
      <c r="E126" s="59" t="s">
        <v>156</v>
      </c>
      <c r="F126" s="60" t="s">
        <v>182</v>
      </c>
      <c r="G126" s="60" t="s">
        <v>158</v>
      </c>
      <c r="H126" s="149" t="s">
        <v>159</v>
      </c>
      <c r="I126" s="149"/>
      <c r="J126" s="61" t="s">
        <v>16</v>
      </c>
    </row>
    <row r="127" spans="1:10" x14ac:dyDescent="0.25">
      <c r="B127" s="62" t="s">
        <v>269</v>
      </c>
      <c r="C127" s="63" t="s">
        <v>161</v>
      </c>
      <c r="D127" s="62" t="s">
        <v>186</v>
      </c>
      <c r="E127" s="51" t="s">
        <v>197</v>
      </c>
      <c r="F127" s="65">
        <v>13.5</v>
      </c>
      <c r="G127" s="52">
        <f>H127*F127</f>
        <v>162</v>
      </c>
      <c r="H127" s="76">
        <v>12</v>
      </c>
      <c r="I127" s="67" t="s">
        <v>164</v>
      </c>
      <c r="J127" s="52" t="s">
        <v>28</v>
      </c>
    </row>
    <row r="128" spans="1:10" x14ac:dyDescent="0.25">
      <c r="B128" s="62" t="s">
        <v>270</v>
      </c>
      <c r="C128" s="63" t="s">
        <v>161</v>
      </c>
      <c r="D128" s="62" t="s">
        <v>186</v>
      </c>
      <c r="E128" s="51" t="s">
        <v>199</v>
      </c>
      <c r="F128" s="65">
        <v>15</v>
      </c>
      <c r="G128" s="52">
        <f>H128*F128</f>
        <v>180</v>
      </c>
      <c r="H128" s="76">
        <v>12</v>
      </c>
      <c r="I128" s="67" t="s">
        <v>164</v>
      </c>
      <c r="J128" s="52" t="s">
        <v>28</v>
      </c>
    </row>
    <row r="129" spans="1:10" x14ac:dyDescent="0.25">
      <c r="B129" s="62" t="s">
        <v>271</v>
      </c>
      <c r="C129" s="63" t="s">
        <v>166</v>
      </c>
      <c r="D129" s="62" t="s">
        <v>186</v>
      </c>
      <c r="E129" s="62" t="s">
        <v>197</v>
      </c>
      <c r="F129" s="65">
        <v>14.7</v>
      </c>
      <c r="G129" s="52">
        <f>H129*F129</f>
        <v>176.39999999999998</v>
      </c>
      <c r="H129" s="76">
        <v>12</v>
      </c>
      <c r="I129" s="67" t="s">
        <v>164</v>
      </c>
      <c r="J129" s="52" t="s">
        <v>28</v>
      </c>
    </row>
    <row r="130" spans="1:10" x14ac:dyDescent="0.25">
      <c r="B130" s="62" t="s">
        <v>272</v>
      </c>
      <c r="C130" s="63" t="s">
        <v>166</v>
      </c>
      <c r="D130" s="62" t="s">
        <v>201</v>
      </c>
      <c r="E130" s="62" t="s">
        <v>197</v>
      </c>
      <c r="F130" s="65">
        <v>14.7</v>
      </c>
      <c r="G130" s="52">
        <f>H130*F130</f>
        <v>176.39999999999998</v>
      </c>
      <c r="H130" s="76">
        <v>12</v>
      </c>
      <c r="I130" s="67" t="s">
        <v>164</v>
      </c>
      <c r="J130" s="52" t="s">
        <v>28</v>
      </c>
    </row>
    <row r="131" spans="1:10" x14ac:dyDescent="0.25">
      <c r="B131" s="62" t="s">
        <v>273</v>
      </c>
      <c r="C131" s="63" t="s">
        <v>166</v>
      </c>
      <c r="D131" s="62" t="s">
        <v>186</v>
      </c>
      <c r="E131" s="62" t="s">
        <v>199</v>
      </c>
      <c r="F131" s="65">
        <v>16.2</v>
      </c>
      <c r="G131" s="52">
        <f>H131*F131</f>
        <v>194.39999999999998</v>
      </c>
      <c r="H131" s="76">
        <v>12</v>
      </c>
      <c r="I131" s="67" t="s">
        <v>164</v>
      </c>
      <c r="J131" s="52" t="s">
        <v>28</v>
      </c>
    </row>
    <row r="132" spans="1:10" x14ac:dyDescent="0.25">
      <c r="F132" s="51"/>
      <c r="G132" s="51"/>
      <c r="H132" s="74"/>
    </row>
    <row r="133" spans="1:10" ht="19.8" thickBot="1" x14ac:dyDescent="0.3">
      <c r="A133" s="151" t="s">
        <v>274</v>
      </c>
      <c r="B133" s="151"/>
      <c r="C133" s="57"/>
      <c r="D133" s="57"/>
      <c r="E133" s="57"/>
      <c r="F133" s="58"/>
      <c r="G133" s="58"/>
      <c r="H133" s="75"/>
      <c r="I133" s="58"/>
      <c r="J133" s="58"/>
    </row>
    <row r="134" spans="1:10" ht="15" thickTop="1" thickBot="1" x14ac:dyDescent="0.3">
      <c r="B134" s="59" t="s">
        <v>10</v>
      </c>
      <c r="C134" s="59" t="s">
        <v>154</v>
      </c>
      <c r="D134" s="59" t="s">
        <v>155</v>
      </c>
      <c r="E134" s="59" t="s">
        <v>156</v>
      </c>
      <c r="F134" s="60" t="s">
        <v>182</v>
      </c>
      <c r="G134" s="60" t="s">
        <v>158</v>
      </c>
      <c r="H134" s="149" t="s">
        <v>159</v>
      </c>
      <c r="I134" s="149"/>
      <c r="J134" s="61" t="s">
        <v>16</v>
      </c>
    </row>
    <row r="135" spans="1:10" x14ac:dyDescent="0.25">
      <c r="B135" s="62" t="s">
        <v>275</v>
      </c>
      <c r="C135" s="63" t="s">
        <v>161</v>
      </c>
      <c r="D135" s="51" t="s">
        <v>186</v>
      </c>
      <c r="E135" s="51" t="s">
        <v>197</v>
      </c>
      <c r="F135" s="65">
        <v>15.1</v>
      </c>
      <c r="G135" s="52">
        <f>H135*F135</f>
        <v>181.2</v>
      </c>
      <c r="H135" s="76">
        <v>12</v>
      </c>
      <c r="I135" s="67" t="s">
        <v>164</v>
      </c>
      <c r="J135" s="52" t="s">
        <v>28</v>
      </c>
    </row>
    <row r="136" spans="1:10" x14ac:dyDescent="0.25">
      <c r="B136" s="62" t="s">
        <v>276</v>
      </c>
      <c r="C136" s="63" t="s">
        <v>161</v>
      </c>
      <c r="D136" s="51" t="s">
        <v>201</v>
      </c>
      <c r="E136" s="51" t="s">
        <v>197</v>
      </c>
      <c r="F136" s="65">
        <v>15.1</v>
      </c>
      <c r="G136" s="52">
        <f>H136*F136</f>
        <v>181.2</v>
      </c>
      <c r="H136" s="76">
        <v>12</v>
      </c>
      <c r="I136" s="67" t="s">
        <v>164</v>
      </c>
      <c r="J136" s="52" t="s">
        <v>28</v>
      </c>
    </row>
    <row r="137" spans="1:10" x14ac:dyDescent="0.25">
      <c r="B137" s="62" t="s">
        <v>277</v>
      </c>
      <c r="C137" s="63" t="s">
        <v>161</v>
      </c>
      <c r="D137" s="51" t="s">
        <v>201</v>
      </c>
      <c r="E137" s="51" t="s">
        <v>163</v>
      </c>
      <c r="F137" s="65">
        <v>22.3</v>
      </c>
      <c r="G137" s="52">
        <f>H137*F137</f>
        <v>267.60000000000002</v>
      </c>
      <c r="H137" s="76">
        <v>12</v>
      </c>
      <c r="I137" s="67" t="s">
        <v>164</v>
      </c>
      <c r="J137" s="52" t="s">
        <v>28</v>
      </c>
    </row>
    <row r="138" spans="1:10" ht="15" thickBot="1" x14ac:dyDescent="0.35">
      <c r="B138" s="68" t="s">
        <v>169</v>
      </c>
      <c r="C138" s="146" t="s">
        <v>188</v>
      </c>
      <c r="D138" s="147"/>
      <c r="E138" s="147"/>
      <c r="F138" s="147"/>
      <c r="G138" s="69"/>
      <c r="H138" s="70"/>
      <c r="I138" s="68"/>
      <c r="J138" s="71"/>
    </row>
    <row r="139" spans="1:10" x14ac:dyDescent="0.25">
      <c r="B139" s="62" t="s">
        <v>250</v>
      </c>
      <c r="C139" s="63" t="s">
        <v>190</v>
      </c>
      <c r="D139" s="51" t="s">
        <v>222</v>
      </c>
      <c r="E139" s="51" t="s">
        <v>191</v>
      </c>
      <c r="F139" s="65">
        <v>7.4</v>
      </c>
      <c r="G139" s="52">
        <f t="shared" ref="G139" si="4">H139*F139</f>
        <v>88.800000000000011</v>
      </c>
      <c r="H139" s="76">
        <v>12</v>
      </c>
      <c r="I139" s="67" t="s">
        <v>164</v>
      </c>
      <c r="J139" s="52" t="s">
        <v>28</v>
      </c>
    </row>
    <row r="140" spans="1:10" x14ac:dyDescent="0.25">
      <c r="F140" s="51"/>
      <c r="G140" s="51"/>
      <c r="H140" s="74"/>
    </row>
    <row r="141" spans="1:10" x14ac:dyDescent="0.25">
      <c r="F141" s="51"/>
      <c r="G141" s="51"/>
      <c r="H141" s="74"/>
    </row>
    <row r="142" spans="1:10" ht="19.8" thickBot="1" x14ac:dyDescent="0.3">
      <c r="A142" s="151" t="s">
        <v>278</v>
      </c>
      <c r="B142" s="151"/>
      <c r="C142" s="57"/>
      <c r="D142" s="57"/>
      <c r="E142" s="57"/>
      <c r="F142" s="58"/>
      <c r="G142" s="58"/>
      <c r="H142" s="75"/>
      <c r="I142" s="58"/>
      <c r="J142" s="58"/>
    </row>
    <row r="143" spans="1:10" ht="15" thickTop="1" thickBot="1" x14ac:dyDescent="0.3">
      <c r="B143" s="59" t="s">
        <v>10</v>
      </c>
      <c r="C143" s="59" t="s">
        <v>154</v>
      </c>
      <c r="D143" s="59" t="s">
        <v>155</v>
      </c>
      <c r="E143" s="59" t="s">
        <v>156</v>
      </c>
      <c r="F143" s="60" t="s">
        <v>182</v>
      </c>
      <c r="G143" s="60" t="s">
        <v>158</v>
      </c>
      <c r="H143" s="149" t="s">
        <v>159</v>
      </c>
      <c r="I143" s="149"/>
      <c r="J143" s="61" t="s">
        <v>16</v>
      </c>
    </row>
    <row r="144" spans="1:10" x14ac:dyDescent="0.25">
      <c r="B144" s="62" t="s">
        <v>279</v>
      </c>
      <c r="C144" s="63" t="s">
        <v>161</v>
      </c>
      <c r="D144" s="51" t="s">
        <v>186</v>
      </c>
      <c r="E144" s="62" t="s">
        <v>163</v>
      </c>
      <c r="F144" s="65">
        <v>38</v>
      </c>
      <c r="G144" s="52">
        <f>H144*F144</f>
        <v>456</v>
      </c>
      <c r="H144" s="76">
        <v>12</v>
      </c>
      <c r="I144" s="67" t="s">
        <v>164</v>
      </c>
      <c r="J144" s="52" t="s">
        <v>28</v>
      </c>
    </row>
    <row r="145" spans="1:10" x14ac:dyDescent="0.25">
      <c r="B145" s="62" t="s">
        <v>280</v>
      </c>
      <c r="C145" s="63" t="s">
        <v>168</v>
      </c>
      <c r="D145" s="51" t="s">
        <v>186</v>
      </c>
      <c r="E145" s="62" t="s">
        <v>163</v>
      </c>
      <c r="F145" s="65">
        <v>39.65</v>
      </c>
      <c r="G145" s="52">
        <f>H145*F145</f>
        <v>475.79999999999995</v>
      </c>
      <c r="H145" s="76">
        <v>12</v>
      </c>
      <c r="I145" s="67" t="s">
        <v>164</v>
      </c>
      <c r="J145" s="52" t="s">
        <v>28</v>
      </c>
    </row>
    <row r="146" spans="1:10" ht="15" thickBot="1" x14ac:dyDescent="0.35">
      <c r="B146" s="68" t="s">
        <v>169</v>
      </c>
      <c r="C146" s="146" t="s">
        <v>188</v>
      </c>
      <c r="D146" s="147"/>
      <c r="E146" s="147"/>
      <c r="F146" s="147"/>
      <c r="G146" s="69"/>
      <c r="H146" s="70"/>
      <c r="I146" s="70"/>
      <c r="J146" s="82"/>
    </row>
    <row r="147" spans="1:10" x14ac:dyDescent="0.25">
      <c r="B147" s="62" t="s">
        <v>171</v>
      </c>
      <c r="C147" s="63" t="s">
        <v>190</v>
      </c>
      <c r="D147" s="51" t="s">
        <v>173</v>
      </c>
      <c r="E147" s="51" t="s">
        <v>174</v>
      </c>
      <c r="F147" s="65">
        <v>8.1999999999999993</v>
      </c>
      <c r="G147" s="52">
        <f>H147*F147</f>
        <v>98.399999999999991</v>
      </c>
      <c r="H147" s="76">
        <v>12</v>
      </c>
      <c r="I147" s="67" t="s">
        <v>164</v>
      </c>
      <c r="J147" s="52" t="s">
        <v>28</v>
      </c>
    </row>
    <row r="148" spans="1:10" x14ac:dyDescent="0.25">
      <c r="B148" s="62" t="s">
        <v>178</v>
      </c>
      <c r="C148" s="63" t="s">
        <v>179</v>
      </c>
      <c r="D148" s="51" t="s">
        <v>173</v>
      </c>
      <c r="E148" s="51" t="s">
        <v>180</v>
      </c>
      <c r="F148" s="52">
        <v>8.6</v>
      </c>
      <c r="G148" s="52">
        <f>H148*F148</f>
        <v>103.19999999999999</v>
      </c>
      <c r="H148" s="73">
        <v>12</v>
      </c>
      <c r="I148" s="67" t="s">
        <v>164</v>
      </c>
      <c r="J148" s="52" t="s">
        <v>28</v>
      </c>
    </row>
    <row r="149" spans="1:10" x14ac:dyDescent="0.25">
      <c r="B149" s="62"/>
      <c r="C149" s="63"/>
      <c r="H149" s="73"/>
      <c r="I149" s="67"/>
      <c r="J149" s="52"/>
    </row>
    <row r="150" spans="1:10" ht="19.8" thickBot="1" x14ac:dyDescent="0.3">
      <c r="A150" s="151" t="s">
        <v>281</v>
      </c>
      <c r="B150" s="151"/>
      <c r="C150" s="57"/>
      <c r="D150" s="57"/>
      <c r="E150" s="57"/>
      <c r="F150" s="58"/>
      <c r="G150" s="58"/>
      <c r="H150" s="75"/>
      <c r="I150" s="83"/>
      <c r="J150" s="83"/>
    </row>
    <row r="151" spans="1:10" ht="15" thickTop="1" thickBot="1" x14ac:dyDescent="0.3">
      <c r="B151" s="59" t="s">
        <v>10</v>
      </c>
      <c r="C151" s="59" t="s">
        <v>154</v>
      </c>
      <c r="D151" s="59" t="s">
        <v>155</v>
      </c>
      <c r="E151" s="59" t="s">
        <v>156</v>
      </c>
      <c r="F151" s="60" t="s">
        <v>182</v>
      </c>
      <c r="G151" s="60" t="s">
        <v>158</v>
      </c>
      <c r="H151" s="149" t="s">
        <v>159</v>
      </c>
      <c r="I151" s="149"/>
      <c r="J151" s="61" t="s">
        <v>16</v>
      </c>
    </row>
    <row r="152" spans="1:10" x14ac:dyDescent="0.25">
      <c r="B152" s="62" t="s">
        <v>282</v>
      </c>
      <c r="C152" s="63" t="s">
        <v>161</v>
      </c>
      <c r="D152" s="51" t="s">
        <v>186</v>
      </c>
      <c r="E152" s="51" t="s">
        <v>197</v>
      </c>
      <c r="F152" s="65">
        <v>11.75</v>
      </c>
      <c r="G152" s="52">
        <f>H152*F152</f>
        <v>141</v>
      </c>
      <c r="H152" s="76">
        <v>12</v>
      </c>
      <c r="I152" s="67" t="s">
        <v>164</v>
      </c>
      <c r="J152" s="52" t="s">
        <v>20</v>
      </c>
    </row>
    <row r="153" spans="1:10" x14ac:dyDescent="0.25">
      <c r="B153" s="62" t="s">
        <v>283</v>
      </c>
      <c r="C153" s="63" t="s">
        <v>161</v>
      </c>
      <c r="D153" s="51" t="s">
        <v>201</v>
      </c>
      <c r="E153" s="51" t="s">
        <v>197</v>
      </c>
      <c r="F153" s="65">
        <v>11.75</v>
      </c>
      <c r="G153" s="52">
        <f>H153*F153</f>
        <v>141</v>
      </c>
      <c r="H153" s="76">
        <v>12</v>
      </c>
      <c r="I153" s="67" t="s">
        <v>164</v>
      </c>
      <c r="J153" s="52" t="s">
        <v>20</v>
      </c>
    </row>
    <row r="154" spans="1:10" x14ac:dyDescent="0.25">
      <c r="B154" s="62" t="s">
        <v>284</v>
      </c>
      <c r="C154" s="63" t="s">
        <v>166</v>
      </c>
      <c r="D154" s="51" t="s">
        <v>186</v>
      </c>
      <c r="E154" s="51" t="s">
        <v>197</v>
      </c>
      <c r="F154" s="65">
        <v>12.5</v>
      </c>
      <c r="G154" s="52">
        <f>H154*F154</f>
        <v>150</v>
      </c>
      <c r="H154" s="76">
        <v>12</v>
      </c>
      <c r="I154" s="67" t="s">
        <v>164</v>
      </c>
      <c r="J154" s="52" t="s">
        <v>20</v>
      </c>
    </row>
    <row r="155" spans="1:10" x14ac:dyDescent="0.25">
      <c r="F155" s="51"/>
      <c r="G155" s="51"/>
      <c r="H155" s="74"/>
    </row>
    <row r="156" spans="1:10" ht="19.8" thickBot="1" x14ac:dyDescent="0.3">
      <c r="A156" s="57" t="s">
        <v>285</v>
      </c>
      <c r="B156" s="57"/>
      <c r="C156" s="57"/>
      <c r="D156" s="57"/>
      <c r="E156" s="57"/>
      <c r="F156" s="58"/>
      <c r="G156" s="58"/>
      <c r="H156" s="75"/>
      <c r="I156" s="83"/>
      <c r="J156" s="83"/>
    </row>
    <row r="157" spans="1:10" ht="15" thickTop="1" thickBot="1" x14ac:dyDescent="0.3">
      <c r="B157" s="59" t="s">
        <v>10</v>
      </c>
      <c r="C157" s="59" t="s">
        <v>154</v>
      </c>
      <c r="D157" s="59" t="s">
        <v>155</v>
      </c>
      <c r="E157" s="59" t="s">
        <v>156</v>
      </c>
      <c r="F157" s="60" t="s">
        <v>182</v>
      </c>
      <c r="G157" s="60" t="s">
        <v>158</v>
      </c>
      <c r="H157" s="149" t="s">
        <v>159</v>
      </c>
      <c r="I157" s="149"/>
      <c r="J157" s="61" t="s">
        <v>16</v>
      </c>
    </row>
    <row r="158" spans="1:10" x14ac:dyDescent="0.25">
      <c r="B158" s="62" t="s">
        <v>286</v>
      </c>
      <c r="C158" s="63" t="s">
        <v>166</v>
      </c>
      <c r="D158" s="51" t="s">
        <v>287</v>
      </c>
      <c r="E158" s="51" t="s">
        <v>199</v>
      </c>
      <c r="F158" s="65">
        <v>13.1</v>
      </c>
      <c r="G158" s="52">
        <f>H158*F158</f>
        <v>157.19999999999999</v>
      </c>
      <c r="H158" s="76">
        <v>12</v>
      </c>
      <c r="I158" s="67" t="s">
        <v>164</v>
      </c>
      <c r="J158" s="52" t="s">
        <v>20</v>
      </c>
    </row>
    <row r="159" spans="1:10" x14ac:dyDescent="0.25">
      <c r="F159" s="51"/>
      <c r="G159" s="51"/>
      <c r="H159" s="74"/>
    </row>
    <row r="160" spans="1:10" ht="19.8" thickBot="1" x14ac:dyDescent="0.3">
      <c r="A160" s="151" t="s">
        <v>288</v>
      </c>
      <c r="B160" s="151"/>
      <c r="C160" s="57"/>
      <c r="D160" s="57"/>
      <c r="E160" s="57"/>
      <c r="F160" s="58"/>
      <c r="G160" s="58"/>
      <c r="H160" s="75"/>
      <c r="I160" s="83"/>
      <c r="J160" s="83"/>
    </row>
    <row r="161" spans="1:10" ht="15" thickTop="1" thickBot="1" x14ac:dyDescent="0.3">
      <c r="B161" s="59" t="s">
        <v>10</v>
      </c>
      <c r="C161" s="59" t="s">
        <v>154</v>
      </c>
      <c r="D161" s="59" t="s">
        <v>155</v>
      </c>
      <c r="E161" s="59" t="s">
        <v>156</v>
      </c>
      <c r="F161" s="60" t="s">
        <v>182</v>
      </c>
      <c r="G161" s="60" t="s">
        <v>158</v>
      </c>
      <c r="H161" s="149" t="s">
        <v>159</v>
      </c>
      <c r="I161" s="149"/>
      <c r="J161" s="61" t="s">
        <v>16</v>
      </c>
    </row>
    <row r="162" spans="1:10" x14ac:dyDescent="0.25">
      <c r="B162" s="62" t="s">
        <v>289</v>
      </c>
      <c r="C162" s="63" t="s">
        <v>166</v>
      </c>
      <c r="D162" s="51" t="s">
        <v>162</v>
      </c>
      <c r="E162" s="62" t="s">
        <v>163</v>
      </c>
      <c r="F162" s="65">
        <v>36.9</v>
      </c>
      <c r="G162" s="52">
        <f>H162*F162</f>
        <v>442.79999999999995</v>
      </c>
      <c r="H162" s="76">
        <v>12</v>
      </c>
      <c r="I162" s="67" t="s">
        <v>164</v>
      </c>
      <c r="J162" s="52" t="s">
        <v>28</v>
      </c>
    </row>
    <row r="163" spans="1:10" ht="15" thickBot="1" x14ac:dyDescent="0.35">
      <c r="B163" s="68" t="s">
        <v>169</v>
      </c>
      <c r="C163" s="146" t="s">
        <v>188</v>
      </c>
      <c r="D163" s="147"/>
      <c r="E163" s="147"/>
      <c r="F163" s="147"/>
      <c r="G163" s="69"/>
      <c r="H163" s="70"/>
      <c r="I163" s="68"/>
      <c r="J163" s="71"/>
    </row>
    <row r="164" spans="1:10" x14ac:dyDescent="0.25">
      <c r="B164" s="62" t="s">
        <v>192</v>
      </c>
      <c r="C164" s="63" t="s">
        <v>193</v>
      </c>
      <c r="D164" s="51" t="s">
        <v>173</v>
      </c>
      <c r="E164" s="51" t="s">
        <v>194</v>
      </c>
      <c r="F164" s="52">
        <v>7.65</v>
      </c>
      <c r="G164" s="52">
        <f>H164*F164</f>
        <v>91.800000000000011</v>
      </c>
      <c r="H164" s="79">
        <v>12</v>
      </c>
      <c r="I164" s="67" t="s">
        <v>164</v>
      </c>
      <c r="J164" s="52" t="s">
        <v>28</v>
      </c>
    </row>
    <row r="165" spans="1:10" x14ac:dyDescent="0.25">
      <c r="B165" s="62"/>
      <c r="H165" s="73"/>
    </row>
    <row r="166" spans="1:10" ht="19.8" thickBot="1" x14ac:dyDescent="0.3">
      <c r="A166" s="155" t="s">
        <v>290</v>
      </c>
      <c r="B166" s="155"/>
      <c r="C166" s="57"/>
      <c r="D166" s="57"/>
      <c r="E166" s="57"/>
      <c r="F166" s="58"/>
      <c r="G166" s="58"/>
      <c r="H166" s="75"/>
      <c r="I166" s="58"/>
      <c r="J166" s="58"/>
    </row>
    <row r="167" spans="1:10" ht="15" thickTop="1" thickBot="1" x14ac:dyDescent="0.3">
      <c r="B167" s="59" t="s">
        <v>10</v>
      </c>
      <c r="C167" s="59" t="s">
        <v>154</v>
      </c>
      <c r="D167" s="59" t="s">
        <v>155</v>
      </c>
      <c r="E167" s="59" t="s">
        <v>156</v>
      </c>
      <c r="F167" s="60" t="s">
        <v>182</v>
      </c>
      <c r="G167" s="60" t="s">
        <v>158</v>
      </c>
      <c r="H167" s="149" t="s">
        <v>159</v>
      </c>
      <c r="I167" s="149"/>
      <c r="J167" s="61" t="s">
        <v>16</v>
      </c>
    </row>
    <row r="168" spans="1:10" ht="15" thickBot="1" x14ac:dyDescent="0.35">
      <c r="B168" s="68" t="s">
        <v>169</v>
      </c>
      <c r="C168" s="156" t="s">
        <v>170</v>
      </c>
      <c r="D168" s="157"/>
      <c r="E168" s="157"/>
      <c r="F168" s="157"/>
      <c r="G168" s="84"/>
      <c r="H168" s="85"/>
      <c r="I168" s="68"/>
      <c r="J168" s="71"/>
    </row>
    <row r="169" spans="1:10" x14ac:dyDescent="0.25">
      <c r="B169" s="62" t="s">
        <v>171</v>
      </c>
      <c r="C169" s="63" t="s">
        <v>172</v>
      </c>
      <c r="D169" s="51" t="s">
        <v>173</v>
      </c>
      <c r="E169" s="51" t="s">
        <v>174</v>
      </c>
      <c r="F169" s="65">
        <v>8.1999999999999993</v>
      </c>
      <c r="G169" s="52">
        <f>H169*F169</f>
        <v>98.399999999999991</v>
      </c>
      <c r="H169" s="76">
        <v>12</v>
      </c>
      <c r="I169" s="67" t="s">
        <v>164</v>
      </c>
      <c r="J169" s="52" t="s">
        <v>28</v>
      </c>
    </row>
    <row r="170" spans="1:10" x14ac:dyDescent="0.25">
      <c r="B170" s="62" t="s">
        <v>175</v>
      </c>
      <c r="C170" s="63" t="s">
        <v>176</v>
      </c>
      <c r="D170" s="51" t="s">
        <v>173</v>
      </c>
      <c r="E170" s="51" t="s">
        <v>177</v>
      </c>
      <c r="F170" s="65">
        <v>8.35</v>
      </c>
      <c r="G170" s="52">
        <f>H170*F170</f>
        <v>100.19999999999999</v>
      </c>
      <c r="H170" s="73">
        <v>12</v>
      </c>
      <c r="I170" s="67" t="s">
        <v>164</v>
      </c>
      <c r="J170" s="52" t="s">
        <v>28</v>
      </c>
    </row>
    <row r="171" spans="1:10" x14ac:dyDescent="0.25">
      <c r="B171" s="62" t="s">
        <v>178</v>
      </c>
      <c r="C171" s="63" t="s">
        <v>179</v>
      </c>
      <c r="D171" s="51" t="s">
        <v>173</v>
      </c>
      <c r="E171" s="51" t="s">
        <v>180</v>
      </c>
      <c r="F171" s="65">
        <v>8.6</v>
      </c>
      <c r="G171" s="52">
        <f>H171*F171</f>
        <v>103.19999999999999</v>
      </c>
      <c r="H171" s="76">
        <v>12</v>
      </c>
      <c r="I171" s="67" t="s">
        <v>164</v>
      </c>
      <c r="J171" s="52" t="s">
        <v>28</v>
      </c>
    </row>
    <row r="172" spans="1:10" ht="15" thickBot="1" x14ac:dyDescent="0.35">
      <c r="B172" s="68" t="s">
        <v>169</v>
      </c>
      <c r="C172" s="156" t="s">
        <v>188</v>
      </c>
      <c r="D172" s="157"/>
      <c r="E172" s="157"/>
      <c r="F172" s="157"/>
      <c r="G172" s="84"/>
      <c r="H172" s="85"/>
      <c r="I172" s="68"/>
      <c r="J172" s="71"/>
    </row>
    <row r="173" spans="1:10" x14ac:dyDescent="0.25">
      <c r="B173" s="62" t="s">
        <v>264</v>
      </c>
      <c r="C173" s="63" t="s">
        <v>265</v>
      </c>
      <c r="D173" s="51" t="s">
        <v>173</v>
      </c>
      <c r="E173" s="51" t="s">
        <v>266</v>
      </c>
      <c r="F173" s="52">
        <v>10.7</v>
      </c>
      <c r="G173" s="52">
        <f t="shared" ref="G173:G177" si="5">H173*F173</f>
        <v>128.39999999999998</v>
      </c>
      <c r="H173" s="79">
        <v>12</v>
      </c>
      <c r="I173" s="67" t="s">
        <v>164</v>
      </c>
      <c r="J173" s="52" t="s">
        <v>28</v>
      </c>
    </row>
    <row r="174" spans="1:10" x14ac:dyDescent="0.25">
      <c r="B174" s="62" t="s">
        <v>267</v>
      </c>
      <c r="C174" s="63" t="s">
        <v>265</v>
      </c>
      <c r="D174" s="51" t="s">
        <v>173</v>
      </c>
      <c r="E174" s="51" t="s">
        <v>266</v>
      </c>
      <c r="F174" s="65">
        <v>11.15</v>
      </c>
      <c r="G174" s="52">
        <f t="shared" si="5"/>
        <v>133.80000000000001</v>
      </c>
      <c r="H174" s="76">
        <v>12</v>
      </c>
      <c r="I174" s="67" t="s">
        <v>164</v>
      </c>
      <c r="J174" s="52" t="s">
        <v>28</v>
      </c>
    </row>
    <row r="175" spans="1:10" x14ac:dyDescent="0.25">
      <c r="B175" s="62" t="s">
        <v>189</v>
      </c>
      <c r="C175" s="63" t="s">
        <v>190</v>
      </c>
      <c r="D175" s="51" t="s">
        <v>173</v>
      </c>
      <c r="E175" s="51" t="s">
        <v>191</v>
      </c>
      <c r="F175" s="65">
        <v>7.4</v>
      </c>
      <c r="G175" s="52">
        <f t="shared" si="5"/>
        <v>88.800000000000011</v>
      </c>
      <c r="H175" s="76">
        <v>12</v>
      </c>
      <c r="I175" s="67" t="s">
        <v>164</v>
      </c>
      <c r="J175" s="52" t="s">
        <v>28</v>
      </c>
    </row>
    <row r="176" spans="1:10" x14ac:dyDescent="0.25">
      <c r="B176" s="62" t="s">
        <v>250</v>
      </c>
      <c r="C176" s="63" t="s">
        <v>190</v>
      </c>
      <c r="D176" s="51" t="s">
        <v>222</v>
      </c>
      <c r="E176" s="51" t="s">
        <v>191</v>
      </c>
      <c r="F176" s="65">
        <v>7.4</v>
      </c>
      <c r="G176" s="52">
        <f>H176*F176</f>
        <v>88.800000000000011</v>
      </c>
      <c r="H176" s="76">
        <v>12</v>
      </c>
      <c r="I176" s="67" t="s">
        <v>164</v>
      </c>
      <c r="J176" s="52" t="s">
        <v>28</v>
      </c>
    </row>
    <row r="177" spans="1:10" x14ac:dyDescent="0.25">
      <c r="A177" s="26"/>
      <c r="B177" s="62" t="s">
        <v>192</v>
      </c>
      <c r="C177" s="63" t="s">
        <v>193</v>
      </c>
      <c r="D177" s="51" t="s">
        <v>173</v>
      </c>
      <c r="E177" s="51" t="s">
        <v>194</v>
      </c>
      <c r="F177" s="65">
        <v>7.65</v>
      </c>
      <c r="G177" s="52">
        <f t="shared" si="5"/>
        <v>91.800000000000011</v>
      </c>
      <c r="H177" s="76">
        <v>12</v>
      </c>
      <c r="I177" s="67" t="s">
        <v>164</v>
      </c>
      <c r="J177" s="52" t="s">
        <v>28</v>
      </c>
    </row>
    <row r="178" spans="1:10" x14ac:dyDescent="0.25">
      <c r="B178" s="62" t="s">
        <v>251</v>
      </c>
      <c r="C178" s="63" t="s">
        <v>193</v>
      </c>
      <c r="D178" s="51" t="s">
        <v>222</v>
      </c>
      <c r="E178" s="51" t="s">
        <v>194</v>
      </c>
      <c r="F178" s="65">
        <v>7.65</v>
      </c>
      <c r="G178" s="52">
        <f>H178*F178</f>
        <v>91.800000000000011</v>
      </c>
      <c r="H178" s="76">
        <v>12</v>
      </c>
      <c r="I178" s="67" t="s">
        <v>164</v>
      </c>
      <c r="J178" s="52" t="s">
        <v>28</v>
      </c>
    </row>
    <row r="179" spans="1:10" x14ac:dyDescent="0.25">
      <c r="B179" s="62" t="s">
        <v>206</v>
      </c>
      <c r="C179" s="63" t="s">
        <v>207</v>
      </c>
      <c r="D179" s="51" t="s">
        <v>173</v>
      </c>
      <c r="E179" s="51" t="s">
        <v>208</v>
      </c>
      <c r="F179" s="65">
        <v>7.85</v>
      </c>
      <c r="G179" s="52">
        <f>H179*F179</f>
        <v>94.199999999999989</v>
      </c>
      <c r="H179" s="79">
        <v>12</v>
      </c>
      <c r="I179" s="67" t="s">
        <v>164</v>
      </c>
      <c r="J179" s="52" t="s">
        <v>28</v>
      </c>
    </row>
    <row r="180" spans="1:10" ht="15" thickBot="1" x14ac:dyDescent="0.35">
      <c r="B180" s="68" t="s">
        <v>169</v>
      </c>
      <c r="C180" s="156" t="s">
        <v>291</v>
      </c>
      <c r="D180" s="157"/>
      <c r="E180" s="157"/>
      <c r="F180" s="157"/>
      <c r="G180" s="84"/>
      <c r="H180" s="85"/>
      <c r="I180" s="86"/>
      <c r="J180" s="72"/>
    </row>
    <row r="181" spans="1:10" x14ac:dyDescent="0.25">
      <c r="B181" s="62" t="s">
        <v>218</v>
      </c>
      <c r="C181" s="63" t="s">
        <v>219</v>
      </c>
      <c r="D181" s="51" t="s">
        <v>173</v>
      </c>
      <c r="E181" s="51" t="s">
        <v>220</v>
      </c>
      <c r="F181" s="65">
        <v>8.65</v>
      </c>
      <c r="G181" s="52">
        <f>H181*F181</f>
        <v>103.80000000000001</v>
      </c>
      <c r="H181" s="76">
        <v>12</v>
      </c>
      <c r="I181" s="67" t="s">
        <v>164</v>
      </c>
      <c r="J181" s="52" t="s">
        <v>28</v>
      </c>
    </row>
    <row r="182" spans="1:10" x14ac:dyDescent="0.25">
      <c r="B182" s="62" t="s">
        <v>223</v>
      </c>
      <c r="C182" s="63" t="s">
        <v>224</v>
      </c>
      <c r="D182" s="51" t="s">
        <v>173</v>
      </c>
      <c r="E182" s="51" t="s">
        <v>225</v>
      </c>
      <c r="F182" s="65">
        <v>8.75</v>
      </c>
      <c r="G182" s="52">
        <f>H182*F182</f>
        <v>105</v>
      </c>
      <c r="H182" s="76">
        <v>12</v>
      </c>
      <c r="I182" s="67" t="s">
        <v>164</v>
      </c>
      <c r="J182" s="52" t="s">
        <v>28</v>
      </c>
    </row>
    <row r="183" spans="1:10" x14ac:dyDescent="0.25">
      <c r="B183" s="62" t="s">
        <v>221</v>
      </c>
      <c r="C183" s="63" t="s">
        <v>219</v>
      </c>
      <c r="D183" s="51" t="s">
        <v>222</v>
      </c>
      <c r="E183" s="51" t="s">
        <v>220</v>
      </c>
      <c r="F183" s="65">
        <v>8.65</v>
      </c>
      <c r="G183" s="52">
        <f>H183*F183</f>
        <v>103.80000000000001</v>
      </c>
      <c r="H183" s="76">
        <v>12</v>
      </c>
      <c r="I183" s="67" t="s">
        <v>164</v>
      </c>
      <c r="J183" s="52" t="s">
        <v>28</v>
      </c>
    </row>
    <row r="184" spans="1:10" ht="3.45" customHeight="1" x14ac:dyDescent="0.25">
      <c r="B184" s="62"/>
      <c r="C184" s="63"/>
      <c r="I184" s="52"/>
      <c r="J184" s="52"/>
    </row>
    <row r="185" spans="1:10" ht="36" customHeight="1" x14ac:dyDescent="0.25">
      <c r="B185" s="152" t="s">
        <v>292</v>
      </c>
      <c r="C185" s="153"/>
      <c r="D185" s="153"/>
      <c r="E185" s="153"/>
      <c r="F185" s="153"/>
      <c r="G185" s="153"/>
      <c r="H185" s="153"/>
      <c r="I185" s="153"/>
      <c r="J185" s="87"/>
    </row>
    <row r="186" spans="1:10" ht="15.6" x14ac:dyDescent="0.25">
      <c r="B186" s="154" t="s">
        <v>149</v>
      </c>
      <c r="C186" s="154"/>
      <c r="D186" s="154"/>
      <c r="E186" s="154"/>
      <c r="F186" s="154"/>
      <c r="G186" s="154"/>
      <c r="H186" s="154"/>
      <c r="I186" s="154"/>
      <c r="J186" s="53"/>
    </row>
  </sheetData>
  <mergeCells count="58">
    <mergeCell ref="B185:I185"/>
    <mergeCell ref="B186:I186"/>
    <mergeCell ref="C163:F163"/>
    <mergeCell ref="A166:B166"/>
    <mergeCell ref="H167:I167"/>
    <mergeCell ref="C168:F168"/>
    <mergeCell ref="C172:F172"/>
    <mergeCell ref="C180:F180"/>
    <mergeCell ref="H161:I161"/>
    <mergeCell ref="H126:I126"/>
    <mergeCell ref="A133:B133"/>
    <mergeCell ref="H134:I134"/>
    <mergeCell ref="C138:F138"/>
    <mergeCell ref="A142:B142"/>
    <mergeCell ref="H143:I143"/>
    <mergeCell ref="C146:F146"/>
    <mergeCell ref="A150:B150"/>
    <mergeCell ref="H151:I151"/>
    <mergeCell ref="H157:I157"/>
    <mergeCell ref="A160:B160"/>
    <mergeCell ref="A125:B125"/>
    <mergeCell ref="H81:I81"/>
    <mergeCell ref="C91:F91"/>
    <mergeCell ref="H98:I98"/>
    <mergeCell ref="C101:F101"/>
    <mergeCell ref="A105:B105"/>
    <mergeCell ref="H106:I106"/>
    <mergeCell ref="C110:F110"/>
    <mergeCell ref="H114:I114"/>
    <mergeCell ref="A117:B117"/>
    <mergeCell ref="H118:I118"/>
    <mergeCell ref="C121:F121"/>
    <mergeCell ref="H68:I68"/>
    <mergeCell ref="H73:I73"/>
    <mergeCell ref="C76:F76"/>
    <mergeCell ref="A80:B80"/>
    <mergeCell ref="H44:I44"/>
    <mergeCell ref="C52:F52"/>
    <mergeCell ref="A59:B59"/>
    <mergeCell ref="H60:I60"/>
    <mergeCell ref="C63:F63"/>
    <mergeCell ref="A66:I66"/>
    <mergeCell ref="C38:F38"/>
    <mergeCell ref="A6:I6"/>
    <mergeCell ref="A7:J7"/>
    <mergeCell ref="A8:I8"/>
    <mergeCell ref="H10:I10"/>
    <mergeCell ref="C14:F14"/>
    <mergeCell ref="A19:B19"/>
    <mergeCell ref="H20:I20"/>
    <mergeCell ref="C25:F25"/>
    <mergeCell ref="H30:I30"/>
    <mergeCell ref="A5:I5"/>
    <mergeCell ref="A1:J1"/>
    <mergeCell ref="A2:I2"/>
    <mergeCell ref="A3:C3"/>
    <mergeCell ref="E3:J3"/>
    <mergeCell ref="A4:I4"/>
  </mergeCells>
  <printOptions horizontalCentered="1"/>
  <pageMargins left="0.7" right="0.7" top="0.84266666666666701" bottom="0.75" header="0.3" footer="0.3"/>
  <pageSetup scale="64" fitToWidth="3" fitToHeight="3" orientation="portrait" r:id="rId1"/>
  <headerFooter>
    <oddHeader>&amp;C&amp;G</oddHeader>
    <oddFooter>&amp;L&amp;"Arial,Bold"&amp;9 100 Delaware Street, Forest City, PA 18421
Phone: 570-785-3365, Fax: 570-785-9672&amp;C&amp;"Arial,Bold"&amp;9www.kartri.com
saleinfo@kartri.com&amp;Rrev &amp;D</oddFooter>
  </headerFooter>
  <rowBreaks count="2" manualBreakCount="2">
    <brk id="71" max="9" man="1"/>
    <brk id="139" max="9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4616-4893-4ED8-ADD7-400BD32C74A8}">
  <sheetPr>
    <tabColor theme="9" tint="-0.249977111117893"/>
  </sheetPr>
  <dimension ref="A1:I115"/>
  <sheetViews>
    <sheetView tabSelected="1" topLeftCell="A7" zoomScaleNormal="100" workbookViewId="0">
      <selection activeCell="B17" sqref="B17:D17"/>
    </sheetView>
  </sheetViews>
  <sheetFormatPr defaultRowHeight="13.2" x14ac:dyDescent="0.25"/>
  <cols>
    <col min="1" max="1" width="16.44140625" style="51" customWidth="1"/>
    <col min="2" max="2" width="11" style="51" customWidth="1"/>
    <col min="3" max="3" width="25.33203125" style="51" customWidth="1"/>
    <col min="4" max="4" width="17.33203125" style="51" customWidth="1"/>
    <col min="5" max="5" width="13.109375" style="52" bestFit="1" customWidth="1"/>
    <col min="6" max="8" width="13.109375" style="1" bestFit="1" customWidth="1"/>
    <col min="9" max="9" width="7.77734375" style="1" bestFit="1" customWidth="1"/>
    <col min="10" max="16384" width="8.88671875" style="1"/>
  </cols>
  <sheetData>
    <row r="1" spans="1:9" ht="13.2" customHeight="1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</row>
    <row r="2" spans="1:9" ht="30" customHeight="1" x14ac:dyDescent="0.25">
      <c r="A2" s="143" t="s">
        <v>1</v>
      </c>
      <c r="B2" s="143"/>
      <c r="C2" s="143"/>
      <c r="D2" s="143"/>
      <c r="E2" s="143"/>
      <c r="F2" s="143"/>
      <c r="G2" s="143"/>
      <c r="H2" s="143"/>
      <c r="I2" s="2"/>
    </row>
    <row r="3" spans="1:9" ht="18" x14ac:dyDescent="0.25">
      <c r="A3" s="177" t="s">
        <v>2</v>
      </c>
      <c r="B3" s="177"/>
      <c r="C3" s="178" t="s">
        <v>3</v>
      </c>
      <c r="D3" s="178"/>
      <c r="E3" s="179" t="s">
        <v>4</v>
      </c>
      <c r="F3" s="179"/>
      <c r="G3" s="179"/>
      <c r="H3" s="179"/>
      <c r="I3" s="3"/>
    </row>
    <row r="4" spans="1:9" x14ac:dyDescent="0.25">
      <c r="A4" s="180" t="s">
        <v>5</v>
      </c>
      <c r="B4" s="180"/>
      <c r="C4" s="180"/>
      <c r="D4" s="180"/>
      <c r="E4" s="180"/>
      <c r="F4" s="180"/>
      <c r="G4" s="180"/>
      <c r="H4" s="180"/>
      <c r="I4" s="4"/>
    </row>
    <row r="5" spans="1:9" x14ac:dyDescent="0.25">
      <c r="A5" s="140" t="s">
        <v>6</v>
      </c>
      <c r="B5" s="140"/>
      <c r="C5" s="140"/>
      <c r="D5" s="140"/>
      <c r="E5" s="140"/>
      <c r="F5" s="140"/>
      <c r="G5" s="140"/>
      <c r="H5" s="140"/>
      <c r="I5" s="5"/>
    </row>
    <row r="6" spans="1:9" x14ac:dyDescent="0.25">
      <c r="A6" s="145" t="s">
        <v>7</v>
      </c>
      <c r="B6" s="145"/>
      <c r="C6" s="145"/>
      <c r="D6" s="145"/>
      <c r="E6" s="145"/>
      <c r="F6" s="145"/>
      <c r="G6" s="145"/>
      <c r="H6" s="145"/>
      <c r="I6" s="6"/>
    </row>
    <row r="7" spans="1:9" s="7" customFormat="1" ht="21.6" customHeight="1" thickBot="1" x14ac:dyDescent="0.3">
      <c r="A7" s="176" t="s">
        <v>8</v>
      </c>
      <c r="B7" s="176"/>
      <c r="C7" s="176"/>
      <c r="D7" s="176"/>
      <c r="E7" s="176"/>
      <c r="F7" s="176"/>
      <c r="G7" s="176"/>
      <c r="H7" s="176"/>
      <c r="I7" s="176"/>
    </row>
    <row r="8" spans="1:9" ht="20.399999999999999" customHeight="1" thickTop="1" x14ac:dyDescent="0.25">
      <c r="A8" s="167" t="s">
        <v>9</v>
      </c>
      <c r="B8" s="167"/>
      <c r="C8" s="167"/>
      <c r="D8" s="167"/>
      <c r="E8" s="167"/>
      <c r="F8" s="167"/>
      <c r="G8" s="167"/>
      <c r="H8" s="167"/>
      <c r="I8" s="167"/>
    </row>
    <row r="9" spans="1:9" ht="45" customHeight="1" thickBot="1" x14ac:dyDescent="0.3">
      <c r="A9" s="10" t="s">
        <v>10</v>
      </c>
      <c r="B9" s="171" t="s">
        <v>11</v>
      </c>
      <c r="C9" s="171"/>
      <c r="D9" s="171"/>
      <c r="E9" s="12" t="s">
        <v>12</v>
      </c>
      <c r="F9" s="12" t="s">
        <v>13</v>
      </c>
      <c r="G9" s="12" t="s">
        <v>14</v>
      </c>
      <c r="H9" s="12" t="s">
        <v>15</v>
      </c>
      <c r="I9" s="11" t="s">
        <v>16</v>
      </c>
    </row>
    <row r="10" spans="1:9" s="17" customFormat="1" ht="16.95" customHeight="1" x14ac:dyDescent="0.3">
      <c r="A10" s="13" t="s">
        <v>17</v>
      </c>
      <c r="B10" s="165" t="s">
        <v>18</v>
      </c>
      <c r="C10" s="166"/>
      <c r="D10" s="166"/>
      <c r="E10" s="16">
        <v>10.5</v>
      </c>
      <c r="F10" s="16" t="s">
        <v>19</v>
      </c>
      <c r="G10" s="16" t="s">
        <v>19</v>
      </c>
      <c r="H10" s="16" t="s">
        <v>19</v>
      </c>
      <c r="I10" s="16" t="s">
        <v>20</v>
      </c>
    </row>
    <row r="11" spans="1:9" s="17" customFormat="1" ht="16.95" customHeight="1" x14ac:dyDescent="0.3">
      <c r="A11" s="18" t="s">
        <v>21</v>
      </c>
      <c r="B11" s="165" t="s">
        <v>22</v>
      </c>
      <c r="C11" s="166"/>
      <c r="D11" s="166"/>
      <c r="E11" s="16">
        <v>18.3</v>
      </c>
      <c r="F11" s="16">
        <v>17.75</v>
      </c>
      <c r="G11" s="16">
        <v>16.100000000000001</v>
      </c>
      <c r="H11" s="16">
        <v>11</v>
      </c>
      <c r="I11" s="16" t="s">
        <v>23</v>
      </c>
    </row>
    <row r="12" spans="1:9" s="17" customFormat="1" ht="16.95" customHeight="1" x14ac:dyDescent="0.3">
      <c r="A12" s="18" t="s">
        <v>21</v>
      </c>
      <c r="B12" s="165" t="s">
        <v>546</v>
      </c>
      <c r="C12" s="166"/>
      <c r="D12" s="166"/>
      <c r="E12" s="16">
        <v>18.3</v>
      </c>
      <c r="F12" s="16">
        <v>17.75</v>
      </c>
      <c r="G12" s="16">
        <v>16.100000000000001</v>
      </c>
      <c r="H12" s="16">
        <v>11</v>
      </c>
      <c r="I12" s="16" t="s">
        <v>23</v>
      </c>
    </row>
    <row r="13" spans="1:9" s="17" customFormat="1" ht="16.95" customHeight="1" x14ac:dyDescent="0.3">
      <c r="A13" s="18" t="s">
        <v>24</v>
      </c>
      <c r="B13" s="165" t="s">
        <v>25</v>
      </c>
      <c r="C13" s="166"/>
      <c r="D13" s="166"/>
      <c r="E13" s="16">
        <v>14.9</v>
      </c>
      <c r="F13" s="16">
        <v>14.45</v>
      </c>
      <c r="G13" s="16">
        <v>13.1</v>
      </c>
      <c r="H13" s="16">
        <v>8.9499999999999993</v>
      </c>
      <c r="I13" s="16" t="s">
        <v>23</v>
      </c>
    </row>
    <row r="14" spans="1:9" ht="16.95" customHeight="1" x14ac:dyDescent="0.25">
      <c r="A14" s="18" t="s">
        <v>26</v>
      </c>
      <c r="B14" s="175" t="s">
        <v>27</v>
      </c>
      <c r="C14" s="170"/>
      <c r="D14" s="170"/>
      <c r="E14" s="16">
        <v>12.2</v>
      </c>
      <c r="F14" s="16" t="s">
        <v>19</v>
      </c>
      <c r="G14" s="16" t="s">
        <v>19</v>
      </c>
      <c r="H14" s="16" t="s">
        <v>19</v>
      </c>
      <c r="I14" s="16" t="s">
        <v>28</v>
      </c>
    </row>
    <row r="15" spans="1:9" ht="31.95" customHeight="1" x14ac:dyDescent="0.25">
      <c r="A15" s="18" t="s">
        <v>29</v>
      </c>
      <c r="B15" s="165" t="s">
        <v>544</v>
      </c>
      <c r="C15" s="166"/>
      <c r="D15" s="166"/>
      <c r="E15" s="16">
        <v>15.8</v>
      </c>
      <c r="F15" s="16">
        <v>15.35</v>
      </c>
      <c r="G15" s="16">
        <v>13.9</v>
      </c>
      <c r="H15" s="16">
        <v>9.5</v>
      </c>
      <c r="I15" s="16" t="s">
        <v>30</v>
      </c>
    </row>
    <row r="16" spans="1:9" ht="16.95" customHeight="1" x14ac:dyDescent="0.25">
      <c r="A16" s="18" t="s">
        <v>31</v>
      </c>
      <c r="B16" s="165" t="s">
        <v>550</v>
      </c>
      <c r="C16" s="166"/>
      <c r="D16" s="166"/>
      <c r="E16" s="16">
        <v>17.2</v>
      </c>
      <c r="F16" s="16">
        <v>16.7</v>
      </c>
      <c r="G16" s="16">
        <v>15.15</v>
      </c>
      <c r="H16" s="16">
        <v>10.3</v>
      </c>
      <c r="I16" s="16" t="s">
        <v>23</v>
      </c>
    </row>
    <row r="17" spans="1:9" ht="16.95" customHeight="1" x14ac:dyDescent="0.25">
      <c r="A17" s="18" t="s">
        <v>32</v>
      </c>
      <c r="B17" s="170" t="s">
        <v>33</v>
      </c>
      <c r="C17" s="170"/>
      <c r="D17" s="170"/>
      <c r="E17" s="16">
        <v>11.3</v>
      </c>
      <c r="F17" s="16" t="s">
        <v>19</v>
      </c>
      <c r="G17" s="16" t="s">
        <v>19</v>
      </c>
      <c r="H17" s="16" t="s">
        <v>19</v>
      </c>
      <c r="I17" s="16" t="s">
        <v>20</v>
      </c>
    </row>
    <row r="18" spans="1:9" ht="16.95" customHeight="1" x14ac:dyDescent="0.25">
      <c r="A18" s="18" t="s">
        <v>34</v>
      </c>
      <c r="B18" s="170" t="s">
        <v>547</v>
      </c>
      <c r="C18" s="170"/>
      <c r="D18" s="170"/>
      <c r="E18" s="16">
        <v>11.3</v>
      </c>
      <c r="F18" s="16" t="s">
        <v>19</v>
      </c>
      <c r="G18" s="16" t="s">
        <v>19</v>
      </c>
      <c r="H18" s="16" t="s">
        <v>19</v>
      </c>
      <c r="I18" s="16" t="s">
        <v>28</v>
      </c>
    </row>
    <row r="19" spans="1:9" ht="16.95" customHeight="1" x14ac:dyDescent="0.25">
      <c r="A19" s="18" t="s">
        <v>35</v>
      </c>
      <c r="B19" s="170" t="s">
        <v>36</v>
      </c>
      <c r="C19" s="170"/>
      <c r="D19" s="170"/>
      <c r="E19" s="16">
        <v>12.4</v>
      </c>
      <c r="F19" s="16" t="s">
        <v>19</v>
      </c>
      <c r="G19" s="16" t="s">
        <v>19</v>
      </c>
      <c r="H19" s="16" t="s">
        <v>19</v>
      </c>
      <c r="I19" s="16" t="s">
        <v>28</v>
      </c>
    </row>
    <row r="20" spans="1:9" ht="16.95" customHeight="1" x14ac:dyDescent="0.25">
      <c r="A20" s="18" t="s">
        <v>37</v>
      </c>
      <c r="B20" s="165" t="s">
        <v>545</v>
      </c>
      <c r="C20" s="166"/>
      <c r="D20" s="166"/>
      <c r="E20" s="16">
        <v>17.600000000000001</v>
      </c>
      <c r="F20" s="16">
        <v>17.05</v>
      </c>
      <c r="G20" s="16">
        <v>15.5</v>
      </c>
      <c r="H20" s="16">
        <v>10.25</v>
      </c>
      <c r="I20" s="16" t="s">
        <v>38</v>
      </c>
    </row>
    <row r="21" spans="1:9" ht="16.95" customHeight="1" x14ac:dyDescent="0.25">
      <c r="A21" s="18" t="s">
        <v>39</v>
      </c>
      <c r="B21" s="170" t="s">
        <v>40</v>
      </c>
      <c r="C21" s="170"/>
      <c r="D21" s="170"/>
      <c r="E21" s="16">
        <v>16.8</v>
      </c>
      <c r="F21" s="16">
        <v>16.3</v>
      </c>
      <c r="G21" s="16">
        <v>14.8</v>
      </c>
      <c r="H21" s="16">
        <v>10.55</v>
      </c>
      <c r="I21" s="16" t="s">
        <v>41</v>
      </c>
    </row>
    <row r="22" spans="1:9" ht="16.95" customHeight="1" x14ac:dyDescent="0.25">
      <c r="A22" s="18" t="s">
        <v>42</v>
      </c>
      <c r="B22" s="170" t="s">
        <v>43</v>
      </c>
      <c r="C22" s="170"/>
      <c r="D22" s="170"/>
      <c r="E22" s="16">
        <v>17.100000000000001</v>
      </c>
      <c r="F22" s="16">
        <v>16.600000000000001</v>
      </c>
      <c r="G22" s="16">
        <v>15.05</v>
      </c>
      <c r="H22" s="16">
        <v>10.25</v>
      </c>
      <c r="I22" s="16" t="s">
        <v>41</v>
      </c>
    </row>
    <row r="23" spans="1:9" ht="16.95" customHeight="1" x14ac:dyDescent="0.25">
      <c r="A23" s="18" t="s">
        <v>44</v>
      </c>
      <c r="B23" s="165" t="s">
        <v>45</v>
      </c>
      <c r="C23" s="166"/>
      <c r="D23" s="166"/>
      <c r="E23" s="19">
        <v>13.9</v>
      </c>
      <c r="F23" s="19" t="s">
        <v>19</v>
      </c>
      <c r="G23" s="19" t="s">
        <v>19</v>
      </c>
      <c r="H23" s="19" t="s">
        <v>19</v>
      </c>
      <c r="I23" s="19" t="s">
        <v>20</v>
      </c>
    </row>
    <row r="24" spans="1:9" ht="16.95" customHeight="1" x14ac:dyDescent="0.25">
      <c r="A24" s="18" t="s">
        <v>46</v>
      </c>
      <c r="B24" s="165" t="s">
        <v>47</v>
      </c>
      <c r="C24" s="166"/>
      <c r="D24" s="166"/>
      <c r="E24" s="19">
        <v>17.350000000000001</v>
      </c>
      <c r="F24" s="19">
        <v>16.8</v>
      </c>
      <c r="G24" s="19">
        <v>15.25</v>
      </c>
      <c r="H24" s="19">
        <v>10.4</v>
      </c>
      <c r="I24" s="19" t="s">
        <v>30</v>
      </c>
    </row>
    <row r="25" spans="1:9" ht="16.95" customHeight="1" x14ac:dyDescent="0.25">
      <c r="A25" s="13" t="s">
        <v>48</v>
      </c>
      <c r="B25" s="165" t="s">
        <v>49</v>
      </c>
      <c r="C25" s="166"/>
      <c r="D25" s="166"/>
      <c r="E25" s="19">
        <v>14</v>
      </c>
      <c r="F25" s="19" t="s">
        <v>19</v>
      </c>
      <c r="G25" s="19" t="s">
        <v>19</v>
      </c>
      <c r="H25" s="19" t="s">
        <v>19</v>
      </c>
      <c r="I25" s="19" t="s">
        <v>20</v>
      </c>
    </row>
    <row r="26" spans="1:9" ht="16.95" customHeight="1" x14ac:dyDescent="0.25">
      <c r="A26" s="13" t="s">
        <v>50</v>
      </c>
      <c r="B26" s="170" t="s">
        <v>51</v>
      </c>
      <c r="C26" s="170"/>
      <c r="D26" s="170"/>
      <c r="E26" s="19">
        <v>19.2</v>
      </c>
      <c r="F26" s="19" t="s">
        <v>19</v>
      </c>
      <c r="G26" s="19" t="s">
        <v>19</v>
      </c>
      <c r="H26" s="19" t="s">
        <v>19</v>
      </c>
      <c r="I26" s="19" t="s">
        <v>52</v>
      </c>
    </row>
    <row r="27" spans="1:9" ht="16.95" customHeight="1" x14ac:dyDescent="0.25">
      <c r="A27" s="13" t="s">
        <v>53</v>
      </c>
      <c r="B27" s="170" t="s">
        <v>54</v>
      </c>
      <c r="C27" s="170"/>
      <c r="D27" s="170"/>
      <c r="E27" s="19">
        <v>19.2</v>
      </c>
      <c r="F27" s="19" t="s">
        <v>19</v>
      </c>
      <c r="G27" s="19" t="s">
        <v>19</v>
      </c>
      <c r="H27" s="19" t="s">
        <v>19</v>
      </c>
      <c r="I27" s="19" t="s">
        <v>52</v>
      </c>
    </row>
    <row r="28" spans="1:9" ht="16.95" customHeight="1" thickBot="1" x14ac:dyDescent="0.3">
      <c r="A28" s="13" t="s">
        <v>55</v>
      </c>
      <c r="B28" s="170" t="s">
        <v>56</v>
      </c>
      <c r="C28" s="170"/>
      <c r="D28" s="170"/>
      <c r="E28" s="19">
        <v>19.2</v>
      </c>
      <c r="F28" s="19" t="s">
        <v>19</v>
      </c>
      <c r="G28" s="19" t="s">
        <v>19</v>
      </c>
      <c r="H28" s="19" t="s">
        <v>19</v>
      </c>
      <c r="I28" s="19" t="s">
        <v>52</v>
      </c>
    </row>
    <row r="29" spans="1:9" ht="16.95" customHeight="1" thickTop="1" x14ac:dyDescent="0.25">
      <c r="A29" s="167" t="s">
        <v>57</v>
      </c>
      <c r="B29" s="167"/>
      <c r="C29" s="167"/>
      <c r="D29" s="167"/>
      <c r="E29" s="167"/>
      <c r="F29" s="167"/>
      <c r="G29" s="167"/>
      <c r="H29" s="167"/>
      <c r="I29" s="8"/>
    </row>
    <row r="30" spans="1:9" ht="16.95" customHeight="1" x14ac:dyDescent="0.25">
      <c r="A30" s="13" t="s">
        <v>58</v>
      </c>
      <c r="B30" s="175" t="s">
        <v>59</v>
      </c>
      <c r="C30" s="170"/>
      <c r="D30" s="170"/>
      <c r="E30" s="16">
        <v>25.25</v>
      </c>
      <c r="F30" s="16">
        <v>24.5</v>
      </c>
      <c r="G30" s="16">
        <v>22.2</v>
      </c>
      <c r="H30" s="16">
        <v>15.15</v>
      </c>
      <c r="I30" s="16" t="s">
        <v>23</v>
      </c>
    </row>
    <row r="31" spans="1:9" ht="16.95" customHeight="1" thickBot="1" x14ac:dyDescent="0.3">
      <c r="A31" s="13"/>
      <c r="B31" s="13"/>
      <c r="C31" s="19"/>
      <c r="D31" s="19"/>
      <c r="E31" s="19"/>
      <c r="F31" s="19"/>
      <c r="G31" s="19"/>
      <c r="H31" s="19"/>
      <c r="I31" s="19"/>
    </row>
    <row r="32" spans="1:9" ht="20.399999999999999" customHeight="1" thickTop="1" x14ac:dyDescent="0.25">
      <c r="A32" s="167" t="s">
        <v>60</v>
      </c>
      <c r="B32" s="167"/>
      <c r="C32" s="167"/>
      <c r="D32" s="167"/>
      <c r="E32" s="167"/>
      <c r="F32" s="167"/>
      <c r="G32" s="167"/>
      <c r="H32" s="167"/>
      <c r="I32" s="8"/>
    </row>
    <row r="33" spans="1:9" ht="45" customHeight="1" thickBot="1" x14ac:dyDescent="0.3">
      <c r="A33" s="10" t="s">
        <v>10</v>
      </c>
      <c r="B33" s="171" t="s">
        <v>11</v>
      </c>
      <c r="C33" s="171"/>
      <c r="D33" s="171"/>
      <c r="E33" s="12" t="s">
        <v>12</v>
      </c>
      <c r="F33" s="12" t="s">
        <v>13</v>
      </c>
      <c r="G33" s="12" t="s">
        <v>14</v>
      </c>
      <c r="H33" s="12" t="s">
        <v>15</v>
      </c>
      <c r="I33" s="11" t="s">
        <v>16</v>
      </c>
    </row>
    <row r="34" spans="1:9" s="17" customFormat="1" ht="46.8" customHeight="1" x14ac:dyDescent="0.3">
      <c r="A34" s="13" t="s">
        <v>61</v>
      </c>
      <c r="B34" s="165" t="s">
        <v>62</v>
      </c>
      <c r="C34" s="166"/>
      <c r="D34" s="166"/>
      <c r="E34" s="172" t="s">
        <v>63</v>
      </c>
      <c r="F34" s="172"/>
      <c r="G34" s="172"/>
      <c r="H34" s="172"/>
      <c r="I34" s="16" t="s">
        <v>64</v>
      </c>
    </row>
    <row r="35" spans="1:9" s="17" customFormat="1" ht="59.4" customHeight="1" x14ac:dyDescent="0.3">
      <c r="A35" s="13" t="s">
        <v>65</v>
      </c>
      <c r="B35" s="165" t="s">
        <v>66</v>
      </c>
      <c r="C35" s="166"/>
      <c r="D35" s="166"/>
      <c r="E35" s="172" t="s">
        <v>63</v>
      </c>
      <c r="F35" s="172"/>
      <c r="G35" s="172"/>
      <c r="H35" s="172"/>
      <c r="I35" s="16" t="s">
        <v>64</v>
      </c>
    </row>
    <row r="36" spans="1:9" s="17" customFormat="1" ht="31.95" customHeight="1" x14ac:dyDescent="0.3">
      <c r="A36" s="13" t="s">
        <v>67</v>
      </c>
      <c r="B36" s="165" t="s">
        <v>68</v>
      </c>
      <c r="C36" s="166"/>
      <c r="D36" s="166"/>
      <c r="E36" s="16">
        <v>16.3</v>
      </c>
      <c r="F36" s="16">
        <v>15.8</v>
      </c>
      <c r="G36" s="16">
        <v>14.35</v>
      </c>
      <c r="H36" s="16">
        <v>9.8000000000000007</v>
      </c>
      <c r="I36" s="16" t="s">
        <v>69</v>
      </c>
    </row>
    <row r="37" spans="1:9" s="17" customFormat="1" ht="46.8" customHeight="1" x14ac:dyDescent="0.3">
      <c r="A37" s="13" t="s">
        <v>70</v>
      </c>
      <c r="B37" s="165" t="s">
        <v>548</v>
      </c>
      <c r="C37" s="166"/>
      <c r="D37" s="166"/>
      <c r="E37" s="172" t="s">
        <v>63</v>
      </c>
      <c r="F37" s="172"/>
      <c r="G37" s="172"/>
      <c r="H37" s="172"/>
      <c r="I37" s="16" t="s">
        <v>64</v>
      </c>
    </row>
    <row r="38" spans="1:9" s="17" customFormat="1" ht="78" customHeight="1" x14ac:dyDescent="0.3">
      <c r="A38" s="13" t="s">
        <v>71</v>
      </c>
      <c r="B38" s="165" t="s">
        <v>543</v>
      </c>
      <c r="C38" s="166"/>
      <c r="D38" s="166"/>
      <c r="E38" s="172" t="s">
        <v>63</v>
      </c>
      <c r="F38" s="172"/>
      <c r="G38" s="172"/>
      <c r="H38" s="172"/>
      <c r="I38" s="16" t="s">
        <v>64</v>
      </c>
    </row>
    <row r="39" spans="1:9" s="17" customFormat="1" ht="46.8" customHeight="1" x14ac:dyDescent="0.3">
      <c r="A39" s="13" t="s">
        <v>72</v>
      </c>
      <c r="B39" s="165" t="s">
        <v>73</v>
      </c>
      <c r="C39" s="166"/>
      <c r="D39" s="166"/>
      <c r="E39" s="16">
        <v>39.25</v>
      </c>
      <c r="F39" s="16">
        <v>39.25</v>
      </c>
      <c r="G39" s="16">
        <v>39.25</v>
      </c>
      <c r="H39" s="16">
        <v>23.55</v>
      </c>
      <c r="I39" s="16" t="s">
        <v>64</v>
      </c>
    </row>
    <row r="40" spans="1:9" s="17" customFormat="1" ht="31.95" customHeight="1" x14ac:dyDescent="0.3">
      <c r="A40" s="13" t="s">
        <v>74</v>
      </c>
      <c r="B40" s="165" t="s">
        <v>75</v>
      </c>
      <c r="C40" s="166"/>
      <c r="D40" s="166"/>
      <c r="E40" s="16">
        <v>39.049999999999997</v>
      </c>
      <c r="F40" s="16">
        <v>39.049999999999997</v>
      </c>
      <c r="G40" s="16">
        <v>39.049999999999997</v>
      </c>
      <c r="H40" s="16">
        <v>23.45</v>
      </c>
      <c r="I40" s="16" t="s">
        <v>64</v>
      </c>
    </row>
    <row r="41" spans="1:9" s="17" customFormat="1" ht="59.4" customHeight="1" x14ac:dyDescent="0.3">
      <c r="A41" s="13" t="s">
        <v>76</v>
      </c>
      <c r="B41" s="165" t="s">
        <v>77</v>
      </c>
      <c r="C41" s="166"/>
      <c r="D41" s="166"/>
      <c r="E41" s="172" t="s">
        <v>63</v>
      </c>
      <c r="F41" s="172"/>
      <c r="G41" s="172"/>
      <c r="H41" s="172"/>
      <c r="I41" s="16" t="s">
        <v>64</v>
      </c>
    </row>
    <row r="42" spans="1:9" s="17" customFormat="1" ht="59.4" customHeight="1" x14ac:dyDescent="0.3">
      <c r="A42" s="13" t="s">
        <v>78</v>
      </c>
      <c r="B42" s="165" t="s">
        <v>79</v>
      </c>
      <c r="C42" s="166"/>
      <c r="D42" s="166"/>
      <c r="E42" s="16">
        <v>23.6</v>
      </c>
      <c r="F42" s="16">
        <v>22.9</v>
      </c>
      <c r="G42" s="16">
        <v>20.75</v>
      </c>
      <c r="H42" s="16">
        <v>14.15</v>
      </c>
      <c r="I42" s="16" t="s">
        <v>23</v>
      </c>
    </row>
    <row r="43" spans="1:9" ht="36.6" customHeight="1" thickBot="1" x14ac:dyDescent="0.3">
      <c r="A43" s="20" t="s">
        <v>80</v>
      </c>
      <c r="B43" s="173" t="s">
        <v>81</v>
      </c>
      <c r="C43" s="174"/>
      <c r="D43" s="174"/>
      <c r="E43" s="21">
        <v>25.2</v>
      </c>
      <c r="F43" s="21">
        <v>24.45</v>
      </c>
      <c r="G43" s="21">
        <v>22.2</v>
      </c>
      <c r="H43" s="21">
        <v>15.1</v>
      </c>
      <c r="I43" s="21" t="s">
        <v>69</v>
      </c>
    </row>
    <row r="44" spans="1:9" ht="16.95" hidden="1" customHeight="1" thickTop="1" thickBot="1" x14ac:dyDescent="0.3">
      <c r="A44" s="1"/>
      <c r="B44" s="1"/>
      <c r="C44" s="1"/>
      <c r="D44" s="1"/>
      <c r="E44" s="1"/>
    </row>
    <row r="45" spans="1:9" ht="16.95" hidden="1" customHeight="1" thickBot="1" x14ac:dyDescent="0.3">
      <c r="A45" s="1"/>
      <c r="B45" s="1"/>
      <c r="C45" s="1"/>
      <c r="D45" s="1"/>
      <c r="E45" s="1"/>
    </row>
    <row r="46" spans="1:9" ht="16.95" customHeight="1" thickTop="1" x14ac:dyDescent="0.25">
      <c r="A46" s="167" t="s">
        <v>57</v>
      </c>
      <c r="B46" s="167"/>
      <c r="C46" s="167"/>
      <c r="D46" s="167"/>
      <c r="E46" s="167"/>
      <c r="F46" s="167"/>
      <c r="G46" s="167"/>
      <c r="H46" s="167"/>
      <c r="I46" s="8"/>
    </row>
    <row r="47" spans="1:9" ht="45" customHeight="1" thickBot="1" x14ac:dyDescent="0.3">
      <c r="A47" s="10" t="s">
        <v>10</v>
      </c>
      <c r="B47" s="171" t="s">
        <v>82</v>
      </c>
      <c r="C47" s="171"/>
      <c r="D47" s="171"/>
      <c r="E47" s="12" t="s">
        <v>83</v>
      </c>
      <c r="F47" s="12" t="s">
        <v>12</v>
      </c>
      <c r="G47" s="12" t="s">
        <v>84</v>
      </c>
      <c r="H47" s="12" t="s">
        <v>15</v>
      </c>
      <c r="I47" s="11" t="s">
        <v>16</v>
      </c>
    </row>
    <row r="48" spans="1:9" ht="16.95" customHeight="1" x14ac:dyDescent="0.25">
      <c r="A48" s="13" t="s">
        <v>85</v>
      </c>
      <c r="B48" s="165" t="s">
        <v>86</v>
      </c>
      <c r="C48" s="165"/>
      <c r="D48" s="165"/>
      <c r="E48" s="16" t="s">
        <v>19</v>
      </c>
      <c r="F48" s="16">
        <v>22</v>
      </c>
      <c r="G48" s="22" t="s">
        <v>19</v>
      </c>
      <c r="H48" s="22" t="s">
        <v>19</v>
      </c>
      <c r="I48" s="22" t="s">
        <v>28</v>
      </c>
    </row>
    <row r="49" spans="1:9" ht="16.95" customHeight="1" x14ac:dyDescent="0.25">
      <c r="A49" s="13" t="s">
        <v>87</v>
      </c>
      <c r="B49" s="165" t="s">
        <v>86</v>
      </c>
      <c r="C49" s="165"/>
      <c r="D49" s="165"/>
      <c r="E49" s="16">
        <v>23</v>
      </c>
      <c r="F49" s="23" t="s">
        <v>19</v>
      </c>
      <c r="G49" s="22" t="s">
        <v>19</v>
      </c>
      <c r="H49" s="22" t="s">
        <v>19</v>
      </c>
      <c r="I49" s="22" t="s">
        <v>28</v>
      </c>
    </row>
    <row r="50" spans="1:9" ht="16.95" customHeight="1" x14ac:dyDescent="0.25">
      <c r="A50" s="13" t="s">
        <v>88</v>
      </c>
      <c r="B50" s="165" t="s">
        <v>89</v>
      </c>
      <c r="C50" s="165"/>
      <c r="D50" s="165"/>
      <c r="E50" s="16" t="s">
        <v>19</v>
      </c>
      <c r="F50" s="16">
        <v>22</v>
      </c>
      <c r="G50" s="22" t="s">
        <v>19</v>
      </c>
      <c r="H50" s="22" t="s">
        <v>19</v>
      </c>
      <c r="I50" s="22" t="s">
        <v>28</v>
      </c>
    </row>
    <row r="51" spans="1:9" ht="16.95" customHeight="1" x14ac:dyDescent="0.25">
      <c r="A51" s="13" t="s">
        <v>90</v>
      </c>
      <c r="B51" s="165" t="s">
        <v>91</v>
      </c>
      <c r="C51" s="165"/>
      <c r="D51" s="165"/>
      <c r="E51" s="16">
        <v>23</v>
      </c>
      <c r="F51" s="23" t="s">
        <v>19</v>
      </c>
      <c r="G51" s="24" t="s">
        <v>19</v>
      </c>
      <c r="H51" s="24" t="s">
        <v>19</v>
      </c>
      <c r="I51" s="24" t="s">
        <v>28</v>
      </c>
    </row>
    <row r="52" spans="1:9" ht="16.95" customHeight="1" x14ac:dyDescent="0.25">
      <c r="A52" s="13" t="s">
        <v>92</v>
      </c>
      <c r="B52" s="170" t="s">
        <v>93</v>
      </c>
      <c r="C52" s="170"/>
      <c r="D52" s="170"/>
      <c r="E52" s="23" t="s">
        <v>19</v>
      </c>
      <c r="F52" s="19">
        <v>20</v>
      </c>
      <c r="G52" s="23" t="s">
        <v>19</v>
      </c>
      <c r="H52" s="23" t="s">
        <v>19</v>
      </c>
      <c r="I52" s="23" t="s">
        <v>28</v>
      </c>
    </row>
    <row r="53" spans="1:9" ht="16.95" customHeight="1" x14ac:dyDescent="0.25">
      <c r="A53" s="13" t="s">
        <v>94</v>
      </c>
      <c r="B53" s="170" t="s">
        <v>93</v>
      </c>
      <c r="C53" s="170"/>
      <c r="D53" s="170"/>
      <c r="E53" s="16">
        <v>23</v>
      </c>
      <c r="F53" s="19" t="s">
        <v>19</v>
      </c>
      <c r="G53" s="23" t="s">
        <v>19</v>
      </c>
      <c r="H53" s="23" t="s">
        <v>19</v>
      </c>
      <c r="I53" s="23" t="s">
        <v>28</v>
      </c>
    </row>
    <row r="54" spans="1:9" ht="16.95" customHeight="1" x14ac:dyDescent="0.25">
      <c r="A54" s="13" t="s">
        <v>95</v>
      </c>
      <c r="B54" s="170" t="s">
        <v>96</v>
      </c>
      <c r="C54" s="170"/>
      <c r="D54" s="170"/>
      <c r="E54" s="16">
        <v>27.4</v>
      </c>
      <c r="F54" s="19">
        <v>21</v>
      </c>
      <c r="G54" s="19">
        <v>20.350000000000001</v>
      </c>
      <c r="H54" s="19">
        <v>12.6</v>
      </c>
      <c r="I54" s="23" t="s">
        <v>30</v>
      </c>
    </row>
    <row r="55" spans="1:9" ht="16.95" customHeight="1" x14ac:dyDescent="0.25">
      <c r="A55" s="13" t="s">
        <v>97</v>
      </c>
      <c r="B55" s="165" t="s">
        <v>98</v>
      </c>
      <c r="C55" s="165"/>
      <c r="D55" s="165"/>
      <c r="E55" s="16" t="s">
        <v>19</v>
      </c>
      <c r="F55" s="16">
        <v>23</v>
      </c>
      <c r="G55" s="22" t="s">
        <v>19</v>
      </c>
      <c r="H55" s="22" t="s">
        <v>19</v>
      </c>
      <c r="I55" s="22" t="s">
        <v>28</v>
      </c>
    </row>
    <row r="56" spans="1:9" ht="16.95" customHeight="1" x14ac:dyDescent="0.25">
      <c r="A56" s="13" t="s">
        <v>99</v>
      </c>
      <c r="B56" s="165" t="s">
        <v>98</v>
      </c>
      <c r="C56" s="165"/>
      <c r="D56" s="165"/>
      <c r="E56" s="16">
        <v>24</v>
      </c>
      <c r="F56" s="23" t="s">
        <v>19</v>
      </c>
      <c r="G56" s="22" t="s">
        <v>19</v>
      </c>
      <c r="H56" s="22" t="s">
        <v>19</v>
      </c>
      <c r="I56" s="22" t="s">
        <v>28</v>
      </c>
    </row>
    <row r="57" spans="1:9" ht="16.95" customHeight="1" x14ac:dyDescent="0.25">
      <c r="A57" s="13" t="s">
        <v>100</v>
      </c>
      <c r="B57" s="165" t="s">
        <v>101</v>
      </c>
      <c r="C57" s="165"/>
      <c r="D57" s="165"/>
      <c r="E57" s="16" t="s">
        <v>19</v>
      </c>
      <c r="F57" s="16">
        <v>27.8</v>
      </c>
      <c r="G57" s="22" t="s">
        <v>19</v>
      </c>
      <c r="H57" s="22" t="s">
        <v>19</v>
      </c>
      <c r="I57" s="22" t="s">
        <v>28</v>
      </c>
    </row>
    <row r="58" spans="1:9" ht="16.95" customHeight="1" x14ac:dyDescent="0.25">
      <c r="A58" s="13" t="s">
        <v>102</v>
      </c>
      <c r="B58" s="165" t="s">
        <v>101</v>
      </c>
      <c r="C58" s="165"/>
      <c r="D58" s="165"/>
      <c r="E58" s="16">
        <v>28.8</v>
      </c>
      <c r="F58" s="25" t="s">
        <v>19</v>
      </c>
      <c r="G58" s="22" t="s">
        <v>19</v>
      </c>
      <c r="H58" s="22" t="s">
        <v>19</v>
      </c>
      <c r="I58" s="22" t="s">
        <v>28</v>
      </c>
    </row>
    <row r="59" spans="1:9" ht="16.95" customHeight="1" x14ac:dyDescent="0.25">
      <c r="A59" s="13" t="s">
        <v>103</v>
      </c>
      <c r="B59" s="165" t="s">
        <v>104</v>
      </c>
      <c r="C59" s="165"/>
      <c r="D59" s="165"/>
      <c r="E59" s="16">
        <v>27.4</v>
      </c>
      <c r="F59" s="19">
        <v>21</v>
      </c>
      <c r="G59" s="19">
        <v>20.350000000000001</v>
      </c>
      <c r="H59" s="19">
        <v>12.6</v>
      </c>
      <c r="I59" s="23" t="s">
        <v>30</v>
      </c>
    </row>
    <row r="60" spans="1:9" ht="16.95" hidden="1" customHeight="1" x14ac:dyDescent="0.25">
      <c r="A60" s="13"/>
      <c r="B60" s="14"/>
      <c r="C60" s="14"/>
      <c r="D60" s="14"/>
      <c r="E60" s="16"/>
      <c r="F60" s="25"/>
      <c r="G60" s="22"/>
      <c r="H60" s="22"/>
      <c r="I60" s="22"/>
    </row>
    <row r="61" spans="1:9" ht="16.95" customHeight="1" thickBot="1" x14ac:dyDescent="0.3">
      <c r="A61" s="26"/>
      <c r="B61" s="26"/>
      <c r="C61" s="26"/>
      <c r="D61" s="26"/>
      <c r="E61" s="26"/>
      <c r="F61" s="26"/>
      <c r="G61" s="26"/>
      <c r="H61" s="26"/>
      <c r="I61" s="26"/>
    </row>
    <row r="62" spans="1:9" s="27" customFormat="1" ht="20.399999999999999" customHeight="1" thickTop="1" x14ac:dyDescent="0.25">
      <c r="A62" s="167" t="s">
        <v>105</v>
      </c>
      <c r="B62" s="167"/>
      <c r="C62" s="167"/>
      <c r="D62" s="167"/>
      <c r="E62" s="167"/>
      <c r="F62" s="167"/>
      <c r="G62" s="167"/>
      <c r="H62" s="167"/>
      <c r="I62" s="8"/>
    </row>
    <row r="63" spans="1:9" ht="45" customHeight="1" thickBot="1" x14ac:dyDescent="0.3">
      <c r="A63" s="28" t="s">
        <v>10</v>
      </c>
      <c r="B63" s="168" t="s">
        <v>11</v>
      </c>
      <c r="C63" s="168"/>
      <c r="D63" s="168"/>
      <c r="E63" s="28" t="s">
        <v>12</v>
      </c>
      <c r="F63" s="28" t="s">
        <v>13</v>
      </c>
      <c r="G63" s="28" t="s">
        <v>14</v>
      </c>
      <c r="H63" s="28" t="s">
        <v>15</v>
      </c>
      <c r="I63" s="28" t="s">
        <v>16</v>
      </c>
    </row>
    <row r="64" spans="1:9" ht="45" hidden="1" customHeight="1" thickBot="1" x14ac:dyDescent="0.3">
      <c r="A64" s="29"/>
      <c r="B64" s="29"/>
      <c r="C64" s="29"/>
      <c r="D64" s="29"/>
      <c r="E64" s="29"/>
      <c r="F64" s="29"/>
      <c r="G64" s="29"/>
      <c r="H64" s="29"/>
      <c r="I64" s="29"/>
    </row>
    <row r="65" spans="1:9" ht="17.399999999999999" thickBot="1" x14ac:dyDescent="0.3">
      <c r="A65" s="169" t="s">
        <v>106</v>
      </c>
      <c r="B65" s="169"/>
      <c r="C65" s="169"/>
      <c r="D65" s="169"/>
      <c r="E65" s="169"/>
      <c r="F65" s="30"/>
      <c r="G65" s="30"/>
      <c r="H65" s="30"/>
      <c r="I65" s="30"/>
    </row>
    <row r="66" spans="1:9" ht="17.399999999999999" hidden="1" thickTop="1" x14ac:dyDescent="0.25">
      <c r="A66" s="138"/>
      <c r="B66" s="138"/>
      <c r="C66" s="138"/>
      <c r="D66" s="138"/>
      <c r="E66" s="138"/>
      <c r="F66" s="139"/>
      <c r="G66" s="139"/>
      <c r="H66" s="139"/>
      <c r="I66" s="139"/>
    </row>
    <row r="67" spans="1:9" ht="17.399999999999999" hidden="1" customHeight="1" x14ac:dyDescent="0.25">
      <c r="A67" s="138"/>
      <c r="B67" s="138"/>
      <c r="C67" s="138"/>
      <c r="D67" s="138"/>
      <c r="E67" s="138"/>
      <c r="F67" s="139"/>
      <c r="G67" s="139"/>
      <c r="H67" s="139"/>
      <c r="I67" s="139"/>
    </row>
    <row r="68" spans="1:9" s="32" customFormat="1" ht="31.95" customHeight="1" thickTop="1" x14ac:dyDescent="0.25">
      <c r="A68" s="13" t="s">
        <v>107</v>
      </c>
      <c r="B68" s="165" t="s">
        <v>108</v>
      </c>
      <c r="C68" s="166"/>
      <c r="D68" s="166"/>
      <c r="E68" s="16">
        <v>8</v>
      </c>
      <c r="F68" s="16">
        <v>7.75</v>
      </c>
      <c r="G68" s="16">
        <v>7.05</v>
      </c>
      <c r="H68" s="16">
        <v>4.8</v>
      </c>
      <c r="I68" s="31" t="s">
        <v>23</v>
      </c>
    </row>
    <row r="69" spans="1:9" ht="7.05" hidden="1" customHeight="1" x14ac:dyDescent="0.25">
      <c r="A69" s="33"/>
      <c r="B69" s="34"/>
      <c r="C69" s="35"/>
      <c r="D69" s="35"/>
      <c r="E69" s="35"/>
      <c r="F69" s="35"/>
      <c r="G69" s="35"/>
      <c r="H69" s="35"/>
      <c r="I69" s="35"/>
    </row>
    <row r="70" spans="1:9" ht="7.05" customHeight="1" x14ac:dyDescent="0.25">
      <c r="A70" s="33"/>
      <c r="B70" s="34"/>
      <c r="C70" s="35"/>
      <c r="D70" s="35"/>
      <c r="E70" s="35"/>
      <c r="F70" s="35"/>
      <c r="G70" s="35"/>
      <c r="H70" s="35"/>
      <c r="I70" s="35"/>
    </row>
    <row r="71" spans="1:9" ht="17.399999999999999" thickBot="1" x14ac:dyDescent="0.3">
      <c r="A71" s="159" t="s">
        <v>109</v>
      </c>
      <c r="B71" s="159"/>
      <c r="C71" s="159"/>
      <c r="D71" s="159"/>
      <c r="E71" s="159"/>
      <c r="F71" s="36"/>
      <c r="G71" s="36"/>
      <c r="H71" s="36"/>
      <c r="I71" s="36"/>
    </row>
    <row r="72" spans="1:9" ht="16.95" customHeight="1" thickTop="1" x14ac:dyDescent="0.25">
      <c r="A72" s="37" t="s">
        <v>110</v>
      </c>
      <c r="B72" s="162" t="s">
        <v>111</v>
      </c>
      <c r="C72" s="162"/>
      <c r="D72" s="162"/>
      <c r="E72" s="16">
        <v>7.05</v>
      </c>
      <c r="F72" s="16" t="s">
        <v>19</v>
      </c>
      <c r="G72" s="22" t="s">
        <v>19</v>
      </c>
      <c r="H72" s="22" t="s">
        <v>19</v>
      </c>
      <c r="I72" s="22" t="s">
        <v>20</v>
      </c>
    </row>
    <row r="73" spans="1:9" ht="16.95" customHeight="1" x14ac:dyDescent="0.25">
      <c r="A73" s="37" t="s">
        <v>112</v>
      </c>
      <c r="B73" s="163" t="s">
        <v>113</v>
      </c>
      <c r="C73" s="163"/>
      <c r="D73" s="163"/>
      <c r="E73" s="16">
        <v>7.55</v>
      </c>
      <c r="F73" s="16">
        <v>7.3</v>
      </c>
      <c r="G73" s="22">
        <v>6.65</v>
      </c>
      <c r="H73" s="22">
        <v>4.55</v>
      </c>
      <c r="I73" s="22" t="s">
        <v>23</v>
      </c>
    </row>
    <row r="74" spans="1:9" ht="16.95" customHeight="1" x14ac:dyDescent="0.25">
      <c r="A74" s="37" t="s">
        <v>114</v>
      </c>
      <c r="B74" s="163" t="s">
        <v>115</v>
      </c>
      <c r="C74" s="163"/>
      <c r="D74" s="163"/>
      <c r="E74" s="16">
        <v>6.8</v>
      </c>
      <c r="F74" s="16" t="s">
        <v>19</v>
      </c>
      <c r="G74" s="16" t="s">
        <v>19</v>
      </c>
      <c r="H74" s="16" t="s">
        <v>19</v>
      </c>
      <c r="I74" s="16" t="s">
        <v>20</v>
      </c>
    </row>
    <row r="75" spans="1:9" ht="16.95" customHeight="1" x14ac:dyDescent="0.25">
      <c r="A75" s="37" t="s">
        <v>116</v>
      </c>
      <c r="B75" s="164" t="s">
        <v>117</v>
      </c>
      <c r="C75" s="163"/>
      <c r="D75" s="163"/>
      <c r="E75" s="16">
        <v>7.55</v>
      </c>
      <c r="F75" s="16">
        <v>7.3</v>
      </c>
      <c r="G75" s="22">
        <v>6.65</v>
      </c>
      <c r="H75" s="22">
        <v>4.55</v>
      </c>
      <c r="I75" s="22" t="s">
        <v>23</v>
      </c>
    </row>
    <row r="76" spans="1:9" ht="16.95" customHeight="1" x14ac:dyDescent="0.25">
      <c r="A76" s="37" t="s">
        <v>118</v>
      </c>
      <c r="B76" s="164" t="s">
        <v>119</v>
      </c>
      <c r="C76" s="163"/>
      <c r="D76" s="163"/>
      <c r="E76" s="16">
        <v>6.5</v>
      </c>
      <c r="F76" s="16">
        <v>6.3</v>
      </c>
      <c r="G76" s="22">
        <v>5.7</v>
      </c>
      <c r="H76" s="22">
        <v>3.9</v>
      </c>
      <c r="I76" s="22" t="s">
        <v>23</v>
      </c>
    </row>
    <row r="77" spans="1:9" ht="33" customHeight="1" x14ac:dyDescent="0.25">
      <c r="A77" s="37" t="s">
        <v>120</v>
      </c>
      <c r="B77" s="165" t="s">
        <v>121</v>
      </c>
      <c r="C77" s="166"/>
      <c r="D77" s="166"/>
      <c r="E77" s="16">
        <v>7.4</v>
      </c>
      <c r="F77" s="16" t="s">
        <v>19</v>
      </c>
      <c r="G77" s="22" t="s">
        <v>19</v>
      </c>
      <c r="H77" s="22" t="s">
        <v>19</v>
      </c>
      <c r="I77" s="22" t="s">
        <v>20</v>
      </c>
    </row>
    <row r="78" spans="1:9" ht="7.05" customHeight="1" x14ac:dyDescent="0.25">
      <c r="A78" s="39"/>
      <c r="B78" s="34"/>
      <c r="C78" s="40"/>
      <c r="D78" s="40"/>
      <c r="E78" s="40"/>
      <c r="F78" s="40"/>
      <c r="G78" s="40"/>
      <c r="H78" s="35"/>
      <c r="I78" s="35"/>
    </row>
    <row r="79" spans="1:9" ht="17.399999999999999" thickBot="1" x14ac:dyDescent="0.3">
      <c r="A79" s="159" t="s">
        <v>122</v>
      </c>
      <c r="B79" s="159"/>
      <c r="C79" s="159"/>
      <c r="D79" s="159"/>
      <c r="E79" s="159"/>
      <c r="F79" s="36"/>
      <c r="G79" s="36"/>
      <c r="H79" s="36"/>
      <c r="I79" s="36"/>
    </row>
    <row r="80" spans="1:9" ht="16.95" customHeight="1" thickTop="1" x14ac:dyDescent="0.25">
      <c r="A80" s="37" t="s">
        <v>123</v>
      </c>
      <c r="B80" s="166" t="s">
        <v>124</v>
      </c>
      <c r="C80" s="166"/>
      <c r="D80" s="166"/>
      <c r="E80" s="16">
        <v>8.85</v>
      </c>
      <c r="F80" s="16">
        <v>8.85</v>
      </c>
      <c r="G80" s="22">
        <v>8.85</v>
      </c>
      <c r="H80" s="22">
        <v>5.3</v>
      </c>
      <c r="I80" s="22" t="s">
        <v>125</v>
      </c>
    </row>
    <row r="81" spans="1:9" ht="16.95" customHeight="1" x14ac:dyDescent="0.25">
      <c r="A81" s="37" t="s">
        <v>126</v>
      </c>
      <c r="B81" s="165" t="s">
        <v>127</v>
      </c>
      <c r="C81" s="166"/>
      <c r="D81" s="166"/>
      <c r="E81" s="16">
        <v>9</v>
      </c>
      <c r="F81" s="16">
        <v>8.75</v>
      </c>
      <c r="G81" s="22">
        <v>7.9</v>
      </c>
      <c r="H81" s="22">
        <v>5.4</v>
      </c>
      <c r="I81" s="22" t="s">
        <v>125</v>
      </c>
    </row>
    <row r="82" spans="1:9" ht="16.95" customHeight="1" x14ac:dyDescent="0.25">
      <c r="A82" s="37" t="s">
        <v>126</v>
      </c>
      <c r="B82" s="166" t="s">
        <v>128</v>
      </c>
      <c r="C82" s="166"/>
      <c r="D82" s="166"/>
      <c r="E82" s="16">
        <v>10.9</v>
      </c>
      <c r="F82" s="16">
        <v>10.55</v>
      </c>
      <c r="G82" s="22">
        <v>9.6</v>
      </c>
      <c r="H82" s="22">
        <v>6.55</v>
      </c>
      <c r="I82" s="22" t="s">
        <v>125</v>
      </c>
    </row>
    <row r="83" spans="1:9" ht="16.95" hidden="1" customHeight="1" x14ac:dyDescent="0.25">
      <c r="A83" s="37"/>
      <c r="B83" s="15"/>
      <c r="C83" s="15"/>
      <c r="D83" s="15"/>
      <c r="E83" s="16"/>
      <c r="F83" s="16"/>
      <c r="G83" s="22"/>
      <c r="H83" s="22"/>
      <c r="I83" s="22"/>
    </row>
    <row r="84" spans="1:9" ht="6.6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</row>
    <row r="85" spans="1:9" ht="17.399999999999999" thickBot="1" x14ac:dyDescent="0.3">
      <c r="A85" s="159" t="s">
        <v>129</v>
      </c>
      <c r="B85" s="159"/>
      <c r="C85" s="159"/>
      <c r="D85" s="159"/>
      <c r="E85" s="159"/>
      <c r="F85" s="36"/>
      <c r="G85" s="36"/>
      <c r="H85" s="36"/>
      <c r="I85" s="36"/>
    </row>
    <row r="86" spans="1:9" ht="16.95" customHeight="1" thickTop="1" x14ac:dyDescent="0.25">
      <c r="A86" s="37" t="s">
        <v>130</v>
      </c>
      <c r="B86" s="162" t="s">
        <v>131</v>
      </c>
      <c r="C86" s="162"/>
      <c r="D86" s="162"/>
      <c r="E86" s="16">
        <v>7.05</v>
      </c>
      <c r="F86" s="16">
        <v>6.85</v>
      </c>
      <c r="G86" s="22">
        <v>6.2</v>
      </c>
      <c r="H86" s="22">
        <v>4.25</v>
      </c>
      <c r="I86" s="22" t="s">
        <v>23</v>
      </c>
    </row>
    <row r="87" spans="1:9" ht="17.399999999999999" thickBot="1" x14ac:dyDescent="0.3">
      <c r="A87" s="159" t="s">
        <v>132</v>
      </c>
      <c r="B87" s="159"/>
      <c r="C87" s="159"/>
      <c r="D87" s="159"/>
      <c r="E87" s="159"/>
      <c r="F87" s="36"/>
      <c r="G87" s="36"/>
      <c r="H87" s="41"/>
      <c r="I87" s="41"/>
    </row>
    <row r="88" spans="1:9" s="17" customFormat="1" ht="16.95" customHeight="1" thickTop="1" x14ac:dyDescent="0.3">
      <c r="A88" s="38" t="s">
        <v>133</v>
      </c>
      <c r="B88" s="163" t="s">
        <v>134</v>
      </c>
      <c r="C88" s="163"/>
      <c r="D88" s="163"/>
      <c r="E88" s="42">
        <v>5.95</v>
      </c>
      <c r="F88" s="42" t="s">
        <v>19</v>
      </c>
      <c r="G88" s="42" t="s">
        <v>19</v>
      </c>
      <c r="H88" s="42" t="s">
        <v>19</v>
      </c>
      <c r="I88" s="42" t="s">
        <v>20</v>
      </c>
    </row>
    <row r="89" spans="1:9" s="17" customFormat="1" ht="16.95" customHeight="1" x14ac:dyDescent="0.3">
      <c r="A89" s="38" t="s">
        <v>135</v>
      </c>
      <c r="B89" s="163" t="s">
        <v>136</v>
      </c>
      <c r="C89" s="163"/>
      <c r="D89" s="163"/>
      <c r="E89" s="42">
        <v>6.45</v>
      </c>
      <c r="F89" s="42" t="s">
        <v>19</v>
      </c>
      <c r="G89" s="42" t="s">
        <v>19</v>
      </c>
      <c r="H89" s="42" t="s">
        <v>19</v>
      </c>
      <c r="I89" s="42" t="s">
        <v>20</v>
      </c>
    </row>
    <row r="90" spans="1:9" ht="16.95" customHeight="1" x14ac:dyDescent="0.25">
      <c r="A90" s="38" t="s">
        <v>137</v>
      </c>
      <c r="B90" s="163" t="s">
        <v>549</v>
      </c>
      <c r="C90" s="163"/>
      <c r="D90" s="163"/>
      <c r="E90" s="42">
        <v>5.6</v>
      </c>
      <c r="F90" s="42" t="s">
        <v>19</v>
      </c>
      <c r="G90" s="42" t="s">
        <v>19</v>
      </c>
      <c r="H90" s="42" t="s">
        <v>19</v>
      </c>
      <c r="I90" s="42" t="s">
        <v>20</v>
      </c>
    </row>
    <row r="91" spans="1:9" ht="16.95" customHeight="1" x14ac:dyDescent="0.25">
      <c r="A91" s="37" t="s">
        <v>138</v>
      </c>
      <c r="B91" s="164" t="s">
        <v>139</v>
      </c>
      <c r="C91" s="163"/>
      <c r="D91" s="163"/>
      <c r="E91" s="16">
        <v>5.7</v>
      </c>
      <c r="F91" s="16">
        <v>5.5</v>
      </c>
      <c r="G91" s="22">
        <v>5</v>
      </c>
      <c r="H91" s="22">
        <v>3.4</v>
      </c>
      <c r="I91" s="22" t="s">
        <v>23</v>
      </c>
    </row>
    <row r="92" spans="1:9" ht="7.0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</row>
    <row r="93" spans="1:9" ht="17.399999999999999" thickBot="1" x14ac:dyDescent="0.3">
      <c r="A93" s="159" t="s">
        <v>140</v>
      </c>
      <c r="B93" s="159"/>
      <c r="C93" s="159"/>
      <c r="D93" s="159"/>
      <c r="E93" s="159"/>
      <c r="F93" s="36"/>
      <c r="G93" s="36"/>
      <c r="H93" s="41"/>
      <c r="I93" s="41"/>
    </row>
    <row r="94" spans="1:9" ht="16.95" customHeight="1" thickTop="1" x14ac:dyDescent="0.25">
      <c r="A94" s="43" t="s">
        <v>141</v>
      </c>
      <c r="B94" s="160" t="s">
        <v>142</v>
      </c>
      <c r="C94" s="160"/>
      <c r="D94" s="160"/>
      <c r="E94" s="42">
        <v>5.6</v>
      </c>
      <c r="F94" s="42" t="s">
        <v>19</v>
      </c>
      <c r="G94" s="42" t="s">
        <v>19</v>
      </c>
      <c r="H94" s="42" t="s">
        <v>19</v>
      </c>
      <c r="I94" s="42" t="s">
        <v>30</v>
      </c>
    </row>
    <row r="95" spans="1:9" ht="7.05" hidden="1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</row>
    <row r="96" spans="1:9" ht="7.05" hidden="1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</row>
    <row r="97" spans="1:9" ht="17.399999999999999" thickBot="1" x14ac:dyDescent="0.3">
      <c r="A97" s="161" t="s">
        <v>143</v>
      </c>
      <c r="B97" s="161"/>
      <c r="C97" s="161"/>
      <c r="D97" s="161"/>
      <c r="E97" s="161"/>
      <c r="F97" s="44"/>
      <c r="G97" s="44"/>
      <c r="H97" s="45"/>
      <c r="I97" s="45"/>
    </row>
    <row r="98" spans="1:9" ht="16.95" customHeight="1" thickTop="1" thickBot="1" x14ac:dyDescent="0.3">
      <c r="A98" s="46" t="s">
        <v>144</v>
      </c>
      <c r="B98" s="158" t="s">
        <v>145</v>
      </c>
      <c r="C98" s="158"/>
      <c r="D98" s="158"/>
      <c r="E98" s="47">
        <v>4.0999999999999996</v>
      </c>
      <c r="F98" s="47" t="s">
        <v>19</v>
      </c>
      <c r="G98" s="47" t="s">
        <v>19</v>
      </c>
      <c r="H98" s="47" t="s">
        <v>19</v>
      </c>
      <c r="I98" s="47" t="s">
        <v>20</v>
      </c>
    </row>
    <row r="99" spans="1:9" ht="7.05" hidden="1" customHeight="1" x14ac:dyDescent="0.25">
      <c r="A99" s="48"/>
      <c r="B99" s="48"/>
      <c r="C99" s="49"/>
      <c r="D99" s="49"/>
      <c r="E99" s="49"/>
      <c r="F99" s="49"/>
      <c r="G99" s="49"/>
      <c r="H99" s="50"/>
      <c r="I99" s="50"/>
    </row>
    <row r="100" spans="1:9" ht="7.05" hidden="1" customHeight="1" x14ac:dyDescent="0.25">
      <c r="A100" s="48"/>
      <c r="B100" s="48"/>
      <c r="C100" s="49"/>
      <c r="D100" s="49"/>
      <c r="E100" s="49"/>
      <c r="F100" s="49"/>
      <c r="G100" s="49"/>
      <c r="H100" s="50"/>
      <c r="I100" s="50"/>
    </row>
    <row r="101" spans="1:9" ht="17.399999999999999" thickBot="1" x14ac:dyDescent="0.3">
      <c r="A101" s="161" t="s">
        <v>146</v>
      </c>
      <c r="B101" s="161"/>
      <c r="C101" s="161"/>
      <c r="D101" s="161"/>
      <c r="E101" s="161"/>
      <c r="F101" s="161"/>
      <c r="G101" s="161"/>
      <c r="H101" s="161"/>
      <c r="I101" s="45"/>
    </row>
    <row r="102" spans="1:9" ht="16.95" customHeight="1" thickTop="1" thickBot="1" x14ac:dyDescent="0.3">
      <c r="A102" s="46" t="s">
        <v>147</v>
      </c>
      <c r="B102" s="158" t="s">
        <v>148</v>
      </c>
      <c r="C102" s="158"/>
      <c r="D102" s="158"/>
      <c r="E102" s="47">
        <v>3.75</v>
      </c>
      <c r="F102" s="47" t="s">
        <v>19</v>
      </c>
      <c r="G102" s="47" t="s">
        <v>19</v>
      </c>
      <c r="H102" s="47" t="s">
        <v>19</v>
      </c>
      <c r="I102" s="47" t="s">
        <v>20</v>
      </c>
    </row>
    <row r="103" spans="1:9" ht="3.45" customHeight="1" x14ac:dyDescent="0.25"/>
    <row r="104" spans="1:9" ht="15.6" x14ac:dyDescent="0.25">
      <c r="A104" s="154" t="s">
        <v>149</v>
      </c>
      <c r="B104" s="154"/>
      <c r="C104" s="154"/>
      <c r="D104" s="154"/>
      <c r="E104" s="154"/>
      <c r="F104" s="154"/>
      <c r="G104" s="154"/>
      <c r="H104" s="154"/>
      <c r="I104" s="53"/>
    </row>
    <row r="115" spans="8:8" ht="40.200000000000003" thickBot="1" x14ac:dyDescent="0.3">
      <c r="H115" s="12" t="s">
        <v>150</v>
      </c>
    </row>
  </sheetData>
  <mergeCells count="93">
    <mergeCell ref="A4:H4"/>
    <mergeCell ref="A1:I1"/>
    <mergeCell ref="A2:H2"/>
    <mergeCell ref="A3:B3"/>
    <mergeCell ref="C3:D3"/>
    <mergeCell ref="E3:H3"/>
    <mergeCell ref="B16:D16"/>
    <mergeCell ref="A5:H5"/>
    <mergeCell ref="A6:H6"/>
    <mergeCell ref="A7:I7"/>
    <mergeCell ref="A8:I8"/>
    <mergeCell ref="B9:D9"/>
    <mergeCell ref="B10:D10"/>
    <mergeCell ref="B11:D11"/>
    <mergeCell ref="B12:D12"/>
    <mergeCell ref="B13:D13"/>
    <mergeCell ref="B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29:H29"/>
    <mergeCell ref="B30:D30"/>
    <mergeCell ref="A32:H32"/>
    <mergeCell ref="B33:D33"/>
    <mergeCell ref="B34:D34"/>
    <mergeCell ref="E34:H34"/>
    <mergeCell ref="B43:D43"/>
    <mergeCell ref="B35:D35"/>
    <mergeCell ref="E35:H35"/>
    <mergeCell ref="B36:D36"/>
    <mergeCell ref="B37:D37"/>
    <mergeCell ref="E37:H37"/>
    <mergeCell ref="B38:D38"/>
    <mergeCell ref="E38:H38"/>
    <mergeCell ref="B39:D39"/>
    <mergeCell ref="B40:D40"/>
    <mergeCell ref="B41:D41"/>
    <mergeCell ref="E41:H41"/>
    <mergeCell ref="B42:D42"/>
    <mergeCell ref="B57:D57"/>
    <mergeCell ref="A46:H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76:D76"/>
    <mergeCell ref="B58:D58"/>
    <mergeCell ref="B59:D59"/>
    <mergeCell ref="A62:H62"/>
    <mergeCell ref="B63:D63"/>
    <mergeCell ref="A65:E65"/>
    <mergeCell ref="B68:D68"/>
    <mergeCell ref="A71:E71"/>
    <mergeCell ref="B72:D72"/>
    <mergeCell ref="B73:D73"/>
    <mergeCell ref="B74:D74"/>
    <mergeCell ref="B75:D75"/>
    <mergeCell ref="B91:D91"/>
    <mergeCell ref="B77:D77"/>
    <mergeCell ref="A79:E79"/>
    <mergeCell ref="B80:D80"/>
    <mergeCell ref="B81:D81"/>
    <mergeCell ref="B82:D82"/>
    <mergeCell ref="A85:E85"/>
    <mergeCell ref="B86:D86"/>
    <mergeCell ref="A87:E87"/>
    <mergeCell ref="B88:D88"/>
    <mergeCell ref="B89:D89"/>
    <mergeCell ref="B90:D90"/>
    <mergeCell ref="B102:D102"/>
    <mergeCell ref="A104:H104"/>
    <mergeCell ref="A93:E93"/>
    <mergeCell ref="B94:D94"/>
    <mergeCell ref="A97:E97"/>
    <mergeCell ref="B98:D98"/>
    <mergeCell ref="A101:E101"/>
    <mergeCell ref="F101:H101"/>
  </mergeCells>
  <conditionalFormatting sqref="A32 I32">
    <cfRule type="expression" priority="34" stopIfTrue="1">
      <formula>MOD(ROW,2)=0</formula>
    </cfRule>
    <cfRule type="expression" dxfId="118" priority="33" stopIfTrue="1">
      <formula>MOD(ROW(),2)=0</formula>
    </cfRule>
    <cfRule type="expression" priority="32" stopIfTrue="1">
      <formula>MOD(ROW,2)=0</formula>
    </cfRule>
  </conditionalFormatting>
  <conditionalFormatting sqref="A46 I46">
    <cfRule type="expression" priority="29" stopIfTrue="1">
      <formula>MOD(ROW,2)=0</formula>
    </cfRule>
    <cfRule type="expression" dxfId="117" priority="30" stopIfTrue="1">
      <formula>MOD(ROW(),2)=0</formula>
    </cfRule>
    <cfRule type="expression" priority="31" stopIfTrue="1">
      <formula>MOD(ROW,2)=0</formula>
    </cfRule>
  </conditionalFormatting>
  <conditionalFormatting sqref="A62">
    <cfRule type="expression" dxfId="116" priority="27" stopIfTrue="1">
      <formula>MOD(ROW(),2)=0</formula>
    </cfRule>
    <cfRule type="expression" priority="28" stopIfTrue="1">
      <formula>MOD(ROW,2)=0</formula>
    </cfRule>
    <cfRule type="expression" priority="26" stopIfTrue="1">
      <formula>MOD(ROW,2)=0</formula>
    </cfRule>
  </conditionalFormatting>
  <conditionalFormatting sqref="A10:B28 E10:I28 A29 B68">
    <cfRule type="expression" dxfId="115" priority="44" stopIfTrue="1">
      <formula>MOD(ROW(),2)=0</formula>
    </cfRule>
  </conditionalFormatting>
  <conditionalFormatting sqref="A21:B27 A65:B83">
    <cfRule type="expression" priority="45" stopIfTrue="1">
      <formula>MOD(ROW,2)=0</formula>
    </cfRule>
  </conditionalFormatting>
  <conditionalFormatting sqref="A30:B30 E68:I70 A85:B102 E86:I100">
    <cfRule type="expression" priority="41" stopIfTrue="1">
      <formula>MOD(ROW,2)=0</formula>
    </cfRule>
    <cfRule type="expression" dxfId="114" priority="40" stopIfTrue="1">
      <formula>MOD(ROW(),2)=0</formula>
    </cfRule>
  </conditionalFormatting>
  <conditionalFormatting sqref="A30:B30">
    <cfRule type="expression" priority="36" stopIfTrue="1">
      <formula>MOD(ROW,2)=0</formula>
    </cfRule>
  </conditionalFormatting>
  <conditionalFormatting sqref="A30:B31 A65:B83">
    <cfRule type="expression" dxfId="113" priority="22" stopIfTrue="1">
      <formula>MOD(ROW(),2)=0</formula>
    </cfRule>
  </conditionalFormatting>
  <conditionalFormatting sqref="A34:B34">
    <cfRule type="expression" priority="8" stopIfTrue="1">
      <formula>MOD(ROW,2)=0</formula>
    </cfRule>
  </conditionalFormatting>
  <conditionalFormatting sqref="A35:B43">
    <cfRule type="expression" priority="11" stopIfTrue="1">
      <formula>MOD(ROW,2)=0</formula>
    </cfRule>
  </conditionalFormatting>
  <conditionalFormatting sqref="A48:B60 A29">
    <cfRule type="expression" priority="86" stopIfTrue="1">
      <formula>MOD(ROW,2)=0</formula>
    </cfRule>
  </conditionalFormatting>
  <conditionalFormatting sqref="A48:B60 E52:I54 I29">
    <cfRule type="expression" dxfId="112" priority="85" stopIfTrue="1">
      <formula>MOD(ROW(),2)=0</formula>
    </cfRule>
  </conditionalFormatting>
  <conditionalFormatting sqref="A48:B60">
    <cfRule type="expression" priority="84" stopIfTrue="1">
      <formula>MOD(ROW,2)=0</formula>
    </cfRule>
    <cfRule type="expression" dxfId="111" priority="83" stopIfTrue="1">
      <formula>MOD(ROW(),2)=0</formula>
    </cfRule>
  </conditionalFormatting>
  <conditionalFormatting sqref="A52:B54 E80:I83">
    <cfRule type="expression" priority="51" stopIfTrue="1">
      <formula>MOD(ROW,2)=0</formula>
    </cfRule>
    <cfRule type="expression" dxfId="110" priority="50" stopIfTrue="1">
      <formula>MOD(ROW(),2)=0</formula>
    </cfRule>
  </conditionalFormatting>
  <conditionalFormatting sqref="A88:B90">
    <cfRule type="expression" priority="100" stopIfTrue="1">
      <formula>MOD(ROW,2)=0</formula>
    </cfRule>
    <cfRule type="expression" dxfId="109" priority="99" stopIfTrue="1">
      <formula>MOD(ROW(),2)=0</formula>
    </cfRule>
  </conditionalFormatting>
  <conditionalFormatting sqref="A31:D31">
    <cfRule type="expression" priority="20" stopIfTrue="1">
      <formula>MOD(ROW,2)=0</formula>
    </cfRule>
  </conditionalFormatting>
  <conditionalFormatting sqref="A69:D70">
    <cfRule type="expression" dxfId="108" priority="89" stopIfTrue="1">
      <formula>MOD(ROW(),2)=0</formula>
    </cfRule>
    <cfRule type="expression" priority="90" stopIfTrue="1">
      <formula>MOD(ROW,2)=0</formula>
    </cfRule>
  </conditionalFormatting>
  <conditionalFormatting sqref="B68 A10:B28 E10:I28 A29">
    <cfRule type="expression" priority="42" stopIfTrue="1">
      <formula>MOD(ROW,2)=0</formula>
    </cfRule>
  </conditionalFormatting>
  <conditionalFormatting sqref="B78:I78 A98:A100 E72:I77">
    <cfRule type="expression" dxfId="107" priority="97" stopIfTrue="1">
      <formula>MOD(ROW(),2)=0</formula>
    </cfRule>
  </conditionalFormatting>
  <conditionalFormatting sqref="C31:D31">
    <cfRule type="expression" dxfId="106" priority="21" stopIfTrue="1">
      <formula>MOD(ROW(),2)=0</formula>
    </cfRule>
  </conditionalFormatting>
  <conditionalFormatting sqref="C92:D92">
    <cfRule type="expression" dxfId="105" priority="65" stopIfTrue="1">
      <formula>MOD(ROW(),2)=0</formula>
    </cfRule>
    <cfRule type="expression" dxfId="104" priority="63" stopIfTrue="1">
      <formula>MOD(ROW(),2)=0</formula>
    </cfRule>
    <cfRule type="expression" priority="62" stopIfTrue="1">
      <formula>MOD(ROW,2)=0</formula>
    </cfRule>
    <cfRule type="expression" dxfId="103" priority="61" stopIfTrue="1">
      <formula>MOD(ROW(),2)=0</formula>
    </cfRule>
    <cfRule type="expression" priority="64" stopIfTrue="1">
      <formula>MOD(ROW,2)=0</formula>
    </cfRule>
    <cfRule type="expression" priority="66" stopIfTrue="1">
      <formula>MOD(ROW,2)=0</formula>
    </cfRule>
  </conditionalFormatting>
  <conditionalFormatting sqref="C95:D96">
    <cfRule type="expression" dxfId="102" priority="69" stopIfTrue="1">
      <formula>MOD(ROW(),2)=0</formula>
    </cfRule>
    <cfRule type="expression" dxfId="101" priority="71" stopIfTrue="1">
      <formula>MOD(ROW(),2)=0</formula>
    </cfRule>
    <cfRule type="expression" priority="72" stopIfTrue="1">
      <formula>MOD(ROW,2)=0</formula>
    </cfRule>
    <cfRule type="expression" priority="70" stopIfTrue="1">
      <formula>MOD(ROW,2)=0</formula>
    </cfRule>
  </conditionalFormatting>
  <conditionalFormatting sqref="C99:D100">
    <cfRule type="expression" dxfId="100" priority="91" stopIfTrue="1">
      <formula>MOD(ROW(),2)=0</formula>
    </cfRule>
    <cfRule type="expression" priority="92" stopIfTrue="1">
      <formula>MOD(ROW,2)=0</formula>
    </cfRule>
  </conditionalFormatting>
  <conditionalFormatting sqref="E34:E35">
    <cfRule type="expression" priority="6" stopIfTrue="1">
      <formula>MOD(ROW,2)=0</formula>
    </cfRule>
    <cfRule type="expression" dxfId="99" priority="7" stopIfTrue="1">
      <formula>MOD(ROW(),2)=0</formula>
    </cfRule>
  </conditionalFormatting>
  <conditionalFormatting sqref="E37:E38 A34:B43 I37:I38">
    <cfRule type="expression" dxfId="98" priority="10" stopIfTrue="1">
      <formula>MOD(ROW(),2)=0</formula>
    </cfRule>
  </conditionalFormatting>
  <conditionalFormatting sqref="E37:E38">
    <cfRule type="expression" priority="9" stopIfTrue="1">
      <formula>MOD(ROW,2)=0</formula>
    </cfRule>
  </conditionalFormatting>
  <conditionalFormatting sqref="E41 I41">
    <cfRule type="expression" dxfId="97" priority="14" stopIfTrue="1">
      <formula>MOD(ROW(),2)=0</formula>
    </cfRule>
  </conditionalFormatting>
  <conditionalFormatting sqref="E41">
    <cfRule type="expression" priority="13" stopIfTrue="1">
      <formula>MOD(ROW,2)=0</formula>
    </cfRule>
  </conditionalFormatting>
  <conditionalFormatting sqref="E48:E60">
    <cfRule type="expression" dxfId="96" priority="87" stopIfTrue="1">
      <formula>MOD(ROW(),2)=0</formula>
    </cfRule>
    <cfRule type="expression" priority="88" stopIfTrue="1">
      <formula>MOD(ROW,2)=0</formula>
    </cfRule>
  </conditionalFormatting>
  <conditionalFormatting sqref="E30:I31">
    <cfRule type="expression" dxfId="95" priority="35" stopIfTrue="1">
      <formula>MOD(ROW(),2)=0</formula>
    </cfRule>
    <cfRule type="expression" priority="37" stopIfTrue="1">
      <formula>MOD(ROW,2)=0</formula>
    </cfRule>
  </conditionalFormatting>
  <conditionalFormatting sqref="E36:I36 E39:I40 E42:I43">
    <cfRule type="expression" dxfId="94" priority="38" stopIfTrue="1">
      <formula>MOD(ROW(),2)=0</formula>
    </cfRule>
    <cfRule type="expression" priority="39" stopIfTrue="1">
      <formula>MOD(ROW,2)=0</formula>
    </cfRule>
  </conditionalFormatting>
  <conditionalFormatting sqref="E52:I54">
    <cfRule type="expression" priority="52" stopIfTrue="1">
      <formula>MOD(ROW,2)=0</formula>
    </cfRule>
  </conditionalFormatting>
  <conditionalFormatting sqref="E59:I59">
    <cfRule type="expression" dxfId="93" priority="19" stopIfTrue="1">
      <formula>MOD(ROW(),2)=0</formula>
    </cfRule>
    <cfRule type="expression" priority="18" stopIfTrue="1">
      <formula>MOD(ROW,2)=0</formula>
    </cfRule>
  </conditionalFormatting>
  <conditionalFormatting sqref="E72:I77 B78:I78 A98:A100">
    <cfRule type="expression" priority="98" stopIfTrue="1">
      <formula>MOD(ROW,2)=0</formula>
    </cfRule>
  </conditionalFormatting>
  <conditionalFormatting sqref="E88:I90 E94:I94 A17:B19">
    <cfRule type="expression" priority="102" stopIfTrue="1">
      <formula>MOD(ROW,2)=0</formula>
    </cfRule>
  </conditionalFormatting>
  <conditionalFormatting sqref="E88:I90 E94:I94">
    <cfRule type="expression" dxfId="92" priority="101" stopIfTrue="1">
      <formula>MOD(ROW(),2)=0</formula>
    </cfRule>
  </conditionalFormatting>
  <conditionalFormatting sqref="E102:I102">
    <cfRule type="expression" priority="96" stopIfTrue="1">
      <formula>MOD(ROW,2)=0</formula>
    </cfRule>
    <cfRule type="expression" dxfId="91" priority="95" stopIfTrue="1">
      <formula>MOD(ROW(),2)=0</formula>
    </cfRule>
  </conditionalFormatting>
  <conditionalFormatting sqref="F48:F60">
    <cfRule type="expression" priority="82" stopIfTrue="1">
      <formula>MOD(ROW,2)=0</formula>
    </cfRule>
  </conditionalFormatting>
  <conditionalFormatting sqref="F49:F54 F58:F60 F56">
    <cfRule type="expression" dxfId="90" priority="81" stopIfTrue="1">
      <formula>MOD(ROW(),2)=0</formula>
    </cfRule>
  </conditionalFormatting>
  <conditionalFormatting sqref="F101:G101 I101">
    <cfRule type="expression" dxfId="89" priority="67" stopIfTrue="1">
      <formula>MOD(ROW(),2)=0</formula>
    </cfRule>
    <cfRule type="expression" priority="68" stopIfTrue="1">
      <formula>MOD(ROW,2)=0</formula>
    </cfRule>
  </conditionalFormatting>
  <conditionalFormatting sqref="F48:I48">
    <cfRule type="expression" priority="78" stopIfTrue="1">
      <formula>MOD(ROW,2)=0</formula>
    </cfRule>
    <cfRule type="expression" dxfId="88" priority="77" stopIfTrue="1">
      <formula>MOD(ROW(),2)=0</formula>
    </cfRule>
  </conditionalFormatting>
  <conditionalFormatting sqref="F55:I55">
    <cfRule type="expression" priority="56" stopIfTrue="1">
      <formula>MOD(ROW,2)=0</formula>
    </cfRule>
    <cfRule type="expression" dxfId="87" priority="55" stopIfTrue="1">
      <formula>MOD(ROW(),2)=0</formula>
    </cfRule>
  </conditionalFormatting>
  <conditionalFormatting sqref="F57:I57">
    <cfRule type="expression" dxfId="86" priority="53" stopIfTrue="1">
      <formula>MOD(ROW(),2)=0</formula>
    </cfRule>
    <cfRule type="expression" priority="54" stopIfTrue="1">
      <formula>MOD(ROW,2)=0</formula>
    </cfRule>
  </conditionalFormatting>
  <conditionalFormatting sqref="F65:I67">
    <cfRule type="expression" dxfId="85" priority="73" stopIfTrue="1">
      <formula>MOD(ROW(),2)=0</formula>
    </cfRule>
    <cfRule type="expression" priority="74" stopIfTrue="1">
      <formula>MOD(ROW,2)=0</formula>
    </cfRule>
    <cfRule type="expression" dxfId="84" priority="75" stopIfTrue="1">
      <formula>MOD(ROW(),2)=0</formula>
    </cfRule>
    <cfRule type="expression" priority="76" stopIfTrue="1">
      <formula>MOD(ROW,2)=0</formula>
    </cfRule>
  </conditionalFormatting>
  <conditionalFormatting sqref="F71:I71">
    <cfRule type="expression" dxfId="83" priority="59" stopIfTrue="1">
      <formula>MOD(ROW(),2)=0</formula>
    </cfRule>
    <cfRule type="expression" priority="60" stopIfTrue="1">
      <formula>MOD(ROW,2)=0</formula>
    </cfRule>
  </conditionalFormatting>
  <conditionalFormatting sqref="F79:I79">
    <cfRule type="expression" priority="47" stopIfTrue="1">
      <formula>MOD(ROW,2)=0</formula>
    </cfRule>
    <cfRule type="expression" dxfId="82" priority="46" stopIfTrue="1">
      <formula>MOD(ROW(),2)=0</formula>
    </cfRule>
  </conditionalFormatting>
  <conditionalFormatting sqref="F85:I85">
    <cfRule type="expression" priority="49" stopIfTrue="1">
      <formula>MOD(ROW,2)=0</formula>
    </cfRule>
    <cfRule type="expression" dxfId="81" priority="48" stopIfTrue="1">
      <formula>MOD(ROW(),2)=0</formula>
    </cfRule>
  </conditionalFormatting>
  <conditionalFormatting sqref="G102">
    <cfRule type="expression" dxfId="80" priority="93" stopIfTrue="1">
      <formula>MOD(ROW(),2)=0</formula>
    </cfRule>
    <cfRule type="expression" priority="94" stopIfTrue="1">
      <formula>MOD(ROW,2)=0</formula>
    </cfRule>
  </conditionalFormatting>
  <conditionalFormatting sqref="G54:H54">
    <cfRule type="expression" priority="5" stopIfTrue="1">
      <formula>MOD(ROW,2)=0</formula>
    </cfRule>
    <cfRule type="expression" dxfId="79" priority="4" stopIfTrue="1">
      <formula>MOD(ROW(),2)=0</formula>
    </cfRule>
  </conditionalFormatting>
  <conditionalFormatting sqref="G59:H59">
    <cfRule type="expression" dxfId="78" priority="3" stopIfTrue="1">
      <formula>MOD(ROW(),2)=0</formula>
    </cfRule>
    <cfRule type="expression" priority="2" stopIfTrue="1">
      <formula>MOD(ROW,2)=0</formula>
    </cfRule>
    <cfRule type="expression" dxfId="77" priority="1" stopIfTrue="1">
      <formula>MOD(ROW(),2)=0</formula>
    </cfRule>
  </conditionalFormatting>
  <conditionalFormatting sqref="G48:I50">
    <cfRule type="expression" priority="80" stopIfTrue="1">
      <formula>MOD(ROW,2)=0</formula>
    </cfRule>
    <cfRule type="expression" dxfId="76" priority="79" stopIfTrue="1">
      <formula>MOD(ROW(),2)=0</formula>
    </cfRule>
  </conditionalFormatting>
  <conditionalFormatting sqref="G51:I60">
    <cfRule type="expression" priority="58" stopIfTrue="1">
      <formula>MOD(ROW,2)=0</formula>
    </cfRule>
    <cfRule type="expression" dxfId="75" priority="57" stopIfTrue="1">
      <formula>MOD(ROW(),2)=0</formula>
    </cfRule>
  </conditionalFormatting>
  <conditionalFormatting sqref="I29">
    <cfRule type="expression" priority="43" stopIfTrue="1">
      <formula>MOD(ROW,2)=0</formula>
    </cfRule>
  </conditionalFormatting>
  <conditionalFormatting sqref="I34:I35">
    <cfRule type="expression" dxfId="74" priority="16" stopIfTrue="1">
      <formula>MOD(ROW(),2)=0</formula>
    </cfRule>
    <cfRule type="expression" priority="17" stopIfTrue="1">
      <formula>MOD(ROW,2)=0</formula>
    </cfRule>
  </conditionalFormatting>
  <conditionalFormatting sqref="I37:I38">
    <cfRule type="expression" priority="12" stopIfTrue="1">
      <formula>MOD(ROW,2)=0</formula>
    </cfRule>
  </conditionalFormatting>
  <conditionalFormatting sqref="I41">
    <cfRule type="expression" priority="15" stopIfTrue="1">
      <formula>MOD(ROW,2)=0</formula>
    </cfRule>
  </conditionalFormatting>
  <conditionalFormatting sqref="I62">
    <cfRule type="expression" dxfId="73" priority="24" stopIfTrue="1">
      <formula>MOD(ROW(),2)=0</formula>
    </cfRule>
    <cfRule type="expression" priority="23" stopIfTrue="1">
      <formula>MOD(ROW,2)=0</formula>
    </cfRule>
    <cfRule type="expression" priority="25" stopIfTrue="1">
      <formula>MOD(ROW,2)=0</formula>
    </cfRule>
  </conditionalFormatting>
  <printOptions horizontalCentered="1"/>
  <pageMargins left="0.7" right="0.7" top="0.75" bottom="0.25" header="0.3" footer="0.3"/>
  <pageSetup scale="59" fitToWidth="2" fitToHeight="2" orientation="portrait" r:id="rId1"/>
  <headerFooter>
    <oddHeader xml:space="preserve">&amp;C&amp;G
</oddHeader>
    <oddFooter>&amp;L&amp;"Arial,Bold"&amp;9 100 Delaware Street, Forest City, PA 18421
Phone: 570-785-3365, Fax: 570-785-9672&amp;"Arial,Regular"&amp;10
&amp;C&amp;"Arial,Bold"&amp;9www.kartri.com
saleinfo@kartri.com&amp;"Arial,Regular"&amp;10
&amp;Rrev &amp;D</oddFooter>
  </headerFooter>
  <rowBreaks count="2" manualBreakCount="2">
    <brk id="45" max="8" man="1"/>
    <brk id="104" max="7" man="1"/>
  </rowBreaks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44E2-6C2B-4CDD-9D83-0265E4B35AC9}">
  <sheetPr>
    <tabColor theme="9" tint="-0.249977111117893"/>
    <pageSetUpPr fitToPage="1"/>
  </sheetPr>
  <dimension ref="A1:F76"/>
  <sheetViews>
    <sheetView topLeftCell="A16" zoomScaleNormal="100" zoomScaleSheetLayoutView="100" workbookViewId="0">
      <selection activeCell="I40" sqref="I40"/>
    </sheetView>
  </sheetViews>
  <sheetFormatPr defaultRowHeight="13.2" x14ac:dyDescent="0.25"/>
  <cols>
    <col min="1" max="1" width="15.44140625" style="51" customWidth="1"/>
    <col min="2" max="2" width="11" style="51" customWidth="1"/>
    <col min="3" max="3" width="25.33203125" style="51" customWidth="1"/>
    <col min="4" max="4" width="30.5546875" style="51" customWidth="1"/>
    <col min="5" max="5" width="20.109375" style="52" bestFit="1" customWidth="1"/>
    <col min="6" max="6" width="7.21875" style="52" customWidth="1"/>
    <col min="7" max="16384" width="8.88671875" style="1"/>
  </cols>
  <sheetData>
    <row r="1" spans="1:6" x14ac:dyDescent="0.25">
      <c r="A1" s="141" t="s">
        <v>0</v>
      </c>
      <c r="B1" s="141"/>
      <c r="C1" s="141"/>
      <c r="D1" s="141"/>
      <c r="E1" s="141"/>
      <c r="F1" s="141"/>
    </row>
    <row r="2" spans="1:6" ht="34.950000000000003" customHeight="1" x14ac:dyDescent="0.25">
      <c r="A2" s="143" t="s">
        <v>293</v>
      </c>
      <c r="B2" s="143"/>
      <c r="C2" s="143"/>
      <c r="D2" s="143"/>
      <c r="E2" s="143"/>
      <c r="F2" s="143"/>
    </row>
    <row r="3" spans="1:6" ht="18" x14ac:dyDescent="0.25">
      <c r="A3" s="182" t="s">
        <v>2</v>
      </c>
      <c r="B3" s="182"/>
      <c r="C3" s="3" t="s">
        <v>294</v>
      </c>
      <c r="D3" s="179" t="s">
        <v>4</v>
      </c>
      <c r="E3" s="179"/>
      <c r="F3" s="179"/>
    </row>
    <row r="4" spans="1:6" x14ac:dyDescent="0.25">
      <c r="A4" s="180" t="s">
        <v>5</v>
      </c>
      <c r="B4" s="180"/>
      <c r="C4" s="180"/>
      <c r="D4" s="180"/>
      <c r="E4" s="180"/>
      <c r="F4" s="4"/>
    </row>
    <row r="5" spans="1:6" x14ac:dyDescent="0.25">
      <c r="A5" s="140" t="s">
        <v>6</v>
      </c>
      <c r="B5" s="140"/>
      <c r="C5" s="140"/>
      <c r="D5" s="140"/>
      <c r="E5" s="140"/>
      <c r="F5" s="5"/>
    </row>
    <row r="6" spans="1:6" x14ac:dyDescent="0.25">
      <c r="A6" s="145" t="s">
        <v>7</v>
      </c>
      <c r="B6" s="145"/>
      <c r="C6" s="145"/>
      <c r="D6" s="145"/>
      <c r="E6" s="145"/>
      <c r="F6" s="6"/>
    </row>
    <row r="7" spans="1:6" ht="15.6" x14ac:dyDescent="0.3">
      <c r="A7" s="183" t="s">
        <v>295</v>
      </c>
      <c r="B7" s="183"/>
      <c r="C7" s="183"/>
    </row>
    <row r="8" spans="1:6" s="17" customFormat="1" ht="19.8" thickBot="1" x14ac:dyDescent="0.35">
      <c r="A8" s="88" t="s">
        <v>296</v>
      </c>
      <c r="B8" s="89"/>
      <c r="C8" s="89"/>
      <c r="D8" s="184"/>
      <c r="E8" s="184"/>
      <c r="F8" s="90"/>
    </row>
    <row r="9" spans="1:6" ht="15" thickTop="1" thickBot="1" x14ac:dyDescent="0.3">
      <c r="A9" s="59" t="s">
        <v>10</v>
      </c>
      <c r="B9" s="185" t="s">
        <v>297</v>
      </c>
      <c r="C9" s="185"/>
      <c r="D9" s="185"/>
      <c r="E9" s="60" t="s">
        <v>298</v>
      </c>
      <c r="F9" s="60" t="s">
        <v>16</v>
      </c>
    </row>
    <row r="10" spans="1:6" ht="13.5" customHeight="1" x14ac:dyDescent="0.25">
      <c r="A10" s="91" t="s">
        <v>299</v>
      </c>
      <c r="B10" s="181" t="s">
        <v>300</v>
      </c>
      <c r="C10" s="181"/>
      <c r="D10" s="181"/>
      <c r="E10" s="92">
        <v>10.8</v>
      </c>
      <c r="F10" s="92" t="s">
        <v>20</v>
      </c>
    </row>
    <row r="11" spans="1:6" ht="13.5" customHeight="1" x14ac:dyDescent="0.25">
      <c r="A11" s="91" t="s">
        <v>301</v>
      </c>
      <c r="B11" s="181" t="s">
        <v>302</v>
      </c>
      <c r="C11" s="181"/>
      <c r="D11" s="181"/>
      <c r="E11" s="92">
        <v>8</v>
      </c>
      <c r="F11" s="92" t="s">
        <v>20</v>
      </c>
    </row>
    <row r="12" spans="1:6" ht="13.5" customHeight="1" x14ac:dyDescent="0.25">
      <c r="A12" s="91" t="s">
        <v>303</v>
      </c>
      <c r="B12" s="181" t="s">
        <v>304</v>
      </c>
      <c r="C12" s="181"/>
      <c r="D12" s="181"/>
      <c r="E12" s="92">
        <v>8.8000000000000007</v>
      </c>
      <c r="F12" s="92" t="s">
        <v>20</v>
      </c>
    </row>
    <row r="13" spans="1:6" ht="13.5" customHeight="1" x14ac:dyDescent="0.25">
      <c r="A13" s="91" t="s">
        <v>305</v>
      </c>
      <c r="B13" s="181" t="s">
        <v>306</v>
      </c>
      <c r="C13" s="181"/>
      <c r="D13" s="181"/>
      <c r="E13" s="92">
        <v>1.6</v>
      </c>
      <c r="F13" s="92" t="s">
        <v>20</v>
      </c>
    </row>
    <row r="14" spans="1:6" ht="13.5" customHeight="1" x14ac:dyDescent="0.25">
      <c r="A14" s="91" t="s">
        <v>307</v>
      </c>
      <c r="B14" s="181" t="s">
        <v>308</v>
      </c>
      <c r="C14" s="181"/>
      <c r="D14" s="181"/>
      <c r="E14" s="92">
        <v>2.2000000000000002</v>
      </c>
      <c r="F14" s="92" t="s">
        <v>20</v>
      </c>
    </row>
    <row r="15" spans="1:6" ht="13.5" customHeight="1" x14ac:dyDescent="0.25">
      <c r="A15" s="91" t="s">
        <v>309</v>
      </c>
      <c r="B15" s="187" t="s">
        <v>310</v>
      </c>
      <c r="C15" s="181"/>
      <c r="D15" s="181"/>
      <c r="E15" s="92">
        <v>1.55</v>
      </c>
      <c r="F15" s="92" t="s">
        <v>41</v>
      </c>
    </row>
    <row r="16" spans="1:6" ht="13.5" customHeight="1" x14ac:dyDescent="0.25">
      <c r="A16" s="91" t="s">
        <v>311</v>
      </c>
      <c r="B16" s="181" t="s">
        <v>312</v>
      </c>
      <c r="C16" s="181"/>
      <c r="D16" s="181"/>
      <c r="E16" s="92">
        <v>1.8</v>
      </c>
      <c r="F16" s="92" t="s">
        <v>41</v>
      </c>
    </row>
    <row r="17" spans="1:6" ht="13.5" customHeight="1" x14ac:dyDescent="0.25">
      <c r="A17" s="91" t="s">
        <v>313</v>
      </c>
      <c r="B17" s="181" t="s">
        <v>314</v>
      </c>
      <c r="C17" s="181"/>
      <c r="D17" s="181"/>
      <c r="E17" s="92">
        <v>1.8</v>
      </c>
      <c r="F17" s="92" t="s">
        <v>41</v>
      </c>
    </row>
    <row r="18" spans="1:6" ht="13.5" customHeight="1" x14ac:dyDescent="0.25">
      <c r="A18" s="91" t="s">
        <v>315</v>
      </c>
      <c r="B18" s="181" t="s">
        <v>316</v>
      </c>
      <c r="C18" s="181"/>
      <c r="D18" s="181"/>
      <c r="E18" s="92">
        <v>1.8</v>
      </c>
      <c r="F18" s="92" t="s">
        <v>41</v>
      </c>
    </row>
    <row r="19" spans="1:6" ht="3.75" customHeight="1" x14ac:dyDescent="0.25"/>
    <row r="20" spans="1:6" s="17" customFormat="1" ht="19.8" thickBot="1" x14ac:dyDescent="0.35">
      <c r="A20" s="88" t="s">
        <v>317</v>
      </c>
      <c r="B20" s="88"/>
      <c r="C20" s="89"/>
      <c r="D20" s="184"/>
      <c r="E20" s="184"/>
      <c r="F20" s="90"/>
    </row>
    <row r="21" spans="1:6" ht="15" thickTop="1" thickBot="1" x14ac:dyDescent="0.3">
      <c r="A21" s="59" t="s">
        <v>10</v>
      </c>
      <c r="B21" s="185" t="s">
        <v>297</v>
      </c>
      <c r="C21" s="185"/>
      <c r="D21" s="185"/>
      <c r="E21" s="60" t="s">
        <v>318</v>
      </c>
      <c r="F21" s="60" t="s">
        <v>16</v>
      </c>
    </row>
    <row r="22" spans="1:6" ht="27.6" customHeight="1" x14ac:dyDescent="0.25">
      <c r="A22" s="94" t="s">
        <v>319</v>
      </c>
      <c r="B22" s="188" t="s">
        <v>320</v>
      </c>
      <c r="C22" s="187"/>
      <c r="D22" s="187"/>
      <c r="E22" s="95">
        <v>95.15</v>
      </c>
      <c r="F22" s="95" t="s">
        <v>41</v>
      </c>
    </row>
    <row r="23" spans="1:6" ht="27.6" customHeight="1" x14ac:dyDescent="0.25">
      <c r="A23" s="94" t="s">
        <v>321</v>
      </c>
      <c r="B23" s="188" t="s">
        <v>322</v>
      </c>
      <c r="C23" s="187"/>
      <c r="D23" s="187"/>
      <c r="E23" s="95">
        <v>95.15</v>
      </c>
      <c r="F23" s="95" t="s">
        <v>41</v>
      </c>
    </row>
    <row r="24" spans="1:6" ht="13.5" customHeight="1" x14ac:dyDescent="0.25">
      <c r="A24" s="39" t="s">
        <v>323</v>
      </c>
      <c r="B24" s="187" t="s">
        <v>324</v>
      </c>
      <c r="C24" s="181"/>
      <c r="D24" s="181"/>
      <c r="E24" s="92">
        <v>23.65</v>
      </c>
      <c r="F24" s="92" t="s">
        <v>41</v>
      </c>
    </row>
    <row r="25" spans="1:6" ht="13.5" customHeight="1" x14ac:dyDescent="0.25">
      <c r="A25" s="39" t="s">
        <v>325</v>
      </c>
      <c r="B25" s="187" t="s">
        <v>326</v>
      </c>
      <c r="C25" s="181"/>
      <c r="D25" s="181"/>
      <c r="E25" s="92">
        <v>23.65</v>
      </c>
      <c r="F25" s="92" t="s">
        <v>41</v>
      </c>
    </row>
    <row r="26" spans="1:6" ht="13.5" hidden="1" customHeight="1" x14ac:dyDescent="0.25">
      <c r="A26" s="91" t="s">
        <v>327</v>
      </c>
      <c r="B26" s="187" t="s">
        <v>328</v>
      </c>
      <c r="C26" s="187"/>
      <c r="D26" s="187"/>
      <c r="E26" s="92">
        <v>30</v>
      </c>
      <c r="F26" s="92" t="s">
        <v>41</v>
      </c>
    </row>
    <row r="27" spans="1:6" ht="13.5" hidden="1" customHeight="1" x14ac:dyDescent="0.25">
      <c r="A27" s="91" t="s">
        <v>329</v>
      </c>
      <c r="B27" s="187" t="s">
        <v>330</v>
      </c>
      <c r="C27" s="187"/>
      <c r="D27" s="187"/>
      <c r="E27" s="92">
        <v>30</v>
      </c>
      <c r="F27" s="92" t="s">
        <v>41</v>
      </c>
    </row>
    <row r="28" spans="1:6" ht="13.5" customHeight="1" x14ac:dyDescent="0.25">
      <c r="A28" s="96" t="s">
        <v>331</v>
      </c>
      <c r="B28" s="187" t="s">
        <v>332</v>
      </c>
      <c r="C28" s="181"/>
      <c r="D28" s="181"/>
      <c r="E28" s="92">
        <v>32.5</v>
      </c>
      <c r="F28" s="92" t="s">
        <v>41</v>
      </c>
    </row>
    <row r="29" spans="1:6" ht="13.5" customHeight="1" x14ac:dyDescent="0.25">
      <c r="A29" s="91" t="s">
        <v>333</v>
      </c>
      <c r="B29" s="187" t="s">
        <v>334</v>
      </c>
      <c r="C29" s="181"/>
      <c r="D29" s="181"/>
      <c r="E29" s="92">
        <v>32.5</v>
      </c>
      <c r="F29" s="92" t="s">
        <v>41</v>
      </c>
    </row>
    <row r="30" spans="1:6" ht="13.5" customHeight="1" x14ac:dyDescent="0.25">
      <c r="A30" s="39" t="s">
        <v>335</v>
      </c>
      <c r="B30" s="186" t="s">
        <v>336</v>
      </c>
      <c r="C30" s="181"/>
      <c r="D30" s="181"/>
      <c r="E30" s="92">
        <v>46</v>
      </c>
      <c r="F30" s="92" t="s">
        <v>41</v>
      </c>
    </row>
    <row r="31" spans="1:6" ht="13.5" customHeight="1" x14ac:dyDescent="0.25">
      <c r="A31" s="39" t="s">
        <v>337</v>
      </c>
      <c r="B31" s="187" t="s">
        <v>338</v>
      </c>
      <c r="C31" s="181"/>
      <c r="D31" s="181"/>
      <c r="E31" s="92">
        <v>46</v>
      </c>
      <c r="F31" s="92" t="s">
        <v>41</v>
      </c>
    </row>
    <row r="32" spans="1:6" ht="13.5" customHeight="1" x14ac:dyDescent="0.25">
      <c r="A32" s="39" t="s">
        <v>339</v>
      </c>
      <c r="B32" s="187" t="s">
        <v>340</v>
      </c>
      <c r="C32" s="181"/>
      <c r="D32" s="181"/>
      <c r="E32" s="92">
        <v>55.7</v>
      </c>
      <c r="F32" s="92" t="s">
        <v>41</v>
      </c>
    </row>
    <row r="33" spans="1:6" ht="13.5" customHeight="1" x14ac:dyDescent="0.25">
      <c r="A33" s="39" t="s">
        <v>341</v>
      </c>
      <c r="B33" s="187" t="s">
        <v>342</v>
      </c>
      <c r="C33" s="181"/>
      <c r="D33" s="181"/>
      <c r="E33" s="92">
        <v>55.7</v>
      </c>
      <c r="F33" s="92" t="s">
        <v>41</v>
      </c>
    </row>
    <row r="34" spans="1:6" ht="13.5" customHeight="1" x14ac:dyDescent="0.25">
      <c r="A34" s="39" t="s">
        <v>343</v>
      </c>
      <c r="B34" s="187" t="s">
        <v>344</v>
      </c>
      <c r="C34" s="181"/>
      <c r="D34" s="181"/>
      <c r="E34" s="92">
        <v>33.200000000000003</v>
      </c>
      <c r="F34" s="92" t="s">
        <v>41</v>
      </c>
    </row>
    <row r="35" spans="1:6" ht="13.5" customHeight="1" x14ac:dyDescent="0.25">
      <c r="A35" s="39" t="s">
        <v>345</v>
      </c>
      <c r="B35" s="187" t="s">
        <v>346</v>
      </c>
      <c r="C35" s="181"/>
      <c r="D35" s="181"/>
      <c r="E35" s="92" t="s">
        <v>347</v>
      </c>
      <c r="F35" s="92" t="s">
        <v>41</v>
      </c>
    </row>
    <row r="36" spans="1:6" ht="13.5" customHeight="1" x14ac:dyDescent="0.25">
      <c r="A36" s="39" t="s">
        <v>348</v>
      </c>
      <c r="B36" s="187" t="s">
        <v>349</v>
      </c>
      <c r="C36" s="181"/>
      <c r="D36" s="181"/>
      <c r="E36" s="92" t="s">
        <v>347</v>
      </c>
      <c r="F36" s="92" t="s">
        <v>41</v>
      </c>
    </row>
    <row r="37" spans="1:6" ht="13.5" customHeight="1" x14ac:dyDescent="0.25">
      <c r="A37" s="39" t="s">
        <v>350</v>
      </c>
      <c r="B37" s="93" t="s">
        <v>541</v>
      </c>
      <c r="C37" s="33"/>
      <c r="D37" s="33"/>
      <c r="E37" s="92">
        <v>10.050000000000001</v>
      </c>
      <c r="F37" s="92" t="s">
        <v>20</v>
      </c>
    </row>
    <row r="38" spans="1:6" ht="13.5" customHeight="1" x14ac:dyDescent="0.25">
      <c r="A38" s="91" t="s">
        <v>351</v>
      </c>
      <c r="B38" s="187" t="s">
        <v>542</v>
      </c>
      <c r="C38" s="187"/>
      <c r="D38" s="187"/>
      <c r="E38" s="92">
        <v>12.1</v>
      </c>
      <c r="F38" s="92" t="s">
        <v>41</v>
      </c>
    </row>
    <row r="39" spans="1:6" ht="27.6" customHeight="1" x14ac:dyDescent="0.25">
      <c r="A39" s="91" t="s">
        <v>352</v>
      </c>
      <c r="B39" s="188" t="s">
        <v>353</v>
      </c>
      <c r="C39" s="187"/>
      <c r="D39" s="187"/>
      <c r="E39" s="97" t="s">
        <v>354</v>
      </c>
      <c r="F39" s="98" t="s">
        <v>41</v>
      </c>
    </row>
    <row r="40" spans="1:6" ht="13.95" customHeight="1" x14ac:dyDescent="0.25">
      <c r="A40" s="91" t="s">
        <v>355</v>
      </c>
      <c r="B40" s="187" t="s">
        <v>356</v>
      </c>
      <c r="C40" s="187"/>
      <c r="D40" s="187"/>
      <c r="E40" s="97" t="s">
        <v>354</v>
      </c>
      <c r="F40" s="92" t="s">
        <v>41</v>
      </c>
    </row>
    <row r="41" spans="1:6" ht="13.95" customHeight="1" x14ac:dyDescent="0.25">
      <c r="A41" s="91" t="s">
        <v>357</v>
      </c>
      <c r="B41" s="187" t="s">
        <v>358</v>
      </c>
      <c r="C41" s="187"/>
      <c r="D41" s="187"/>
      <c r="E41" s="97" t="s">
        <v>354</v>
      </c>
      <c r="F41" s="92" t="s">
        <v>41</v>
      </c>
    </row>
    <row r="42" spans="1:6" ht="3.75" customHeight="1" x14ac:dyDescent="0.25">
      <c r="E42" s="51"/>
      <c r="F42" s="51"/>
    </row>
    <row r="43" spans="1:6" s="17" customFormat="1" ht="19.8" thickBot="1" x14ac:dyDescent="0.35">
      <c r="A43" s="88" t="s">
        <v>359</v>
      </c>
      <c r="B43" s="89"/>
      <c r="C43" s="99"/>
      <c r="D43" s="196"/>
      <c r="E43" s="196"/>
      <c r="F43" s="100"/>
    </row>
    <row r="44" spans="1:6" ht="15" thickTop="1" thickBot="1" x14ac:dyDescent="0.3">
      <c r="A44" s="59" t="s">
        <v>10</v>
      </c>
      <c r="B44" s="185" t="s">
        <v>297</v>
      </c>
      <c r="C44" s="185"/>
      <c r="D44" s="185"/>
      <c r="E44" s="59" t="s">
        <v>360</v>
      </c>
      <c r="F44" s="59" t="s">
        <v>16</v>
      </c>
    </row>
    <row r="45" spans="1:6" ht="13.5" customHeight="1" x14ac:dyDescent="0.25">
      <c r="A45" s="39" t="s">
        <v>361</v>
      </c>
      <c r="B45" s="181" t="s">
        <v>362</v>
      </c>
      <c r="C45" s="181"/>
      <c r="D45" s="181"/>
      <c r="E45" s="101" t="s">
        <v>363</v>
      </c>
      <c r="F45" s="40" t="s">
        <v>41</v>
      </c>
    </row>
    <row r="46" spans="1:6" ht="30" customHeight="1" x14ac:dyDescent="0.25">
      <c r="A46" s="94" t="s">
        <v>364</v>
      </c>
      <c r="B46" s="188" t="s">
        <v>365</v>
      </c>
      <c r="C46" s="181"/>
      <c r="D46" s="181"/>
      <c r="E46" s="95" t="s">
        <v>366</v>
      </c>
      <c r="F46" s="95" t="s">
        <v>20</v>
      </c>
    </row>
    <row r="47" spans="1:6" ht="31.2" customHeight="1" x14ac:dyDescent="0.25">
      <c r="A47" s="94" t="s">
        <v>367</v>
      </c>
      <c r="B47" s="188" t="s">
        <v>368</v>
      </c>
      <c r="C47" s="181"/>
      <c r="D47" s="181"/>
      <c r="E47" s="95" t="s">
        <v>369</v>
      </c>
      <c r="F47" s="95" t="s">
        <v>23</v>
      </c>
    </row>
    <row r="48" spans="1:6" ht="30.6" customHeight="1" thickBot="1" x14ac:dyDescent="0.3">
      <c r="A48" s="102" t="s">
        <v>370</v>
      </c>
      <c r="B48" s="191" t="s">
        <v>371</v>
      </c>
      <c r="C48" s="192"/>
      <c r="D48" s="192"/>
      <c r="E48" s="103" t="s">
        <v>372</v>
      </c>
      <c r="F48" s="102" t="s">
        <v>69</v>
      </c>
    </row>
    <row r="49" spans="1:6" ht="3.45" customHeight="1" x14ac:dyDescent="0.25">
      <c r="A49" s="104"/>
      <c r="B49" s="104"/>
      <c r="C49" s="104"/>
      <c r="D49" s="104"/>
      <c r="E49" s="104"/>
      <c r="F49" s="104"/>
    </row>
    <row r="50" spans="1:6" ht="19.8" thickBot="1" x14ac:dyDescent="0.4">
      <c r="A50" s="105" t="s">
        <v>373</v>
      </c>
      <c r="B50" s="105"/>
      <c r="C50" s="57"/>
      <c r="D50" s="106"/>
      <c r="E50" s="105"/>
      <c r="F50" s="105"/>
    </row>
    <row r="51" spans="1:6" ht="15" thickTop="1" thickBot="1" x14ac:dyDescent="0.3">
      <c r="A51" s="59" t="s">
        <v>10</v>
      </c>
      <c r="B51" s="193" t="s">
        <v>374</v>
      </c>
      <c r="C51" s="193"/>
      <c r="D51" s="193"/>
      <c r="E51" s="60" t="s">
        <v>375</v>
      </c>
      <c r="F51" s="60" t="s">
        <v>16</v>
      </c>
    </row>
    <row r="52" spans="1:6" ht="13.5" customHeight="1" x14ac:dyDescent="0.25">
      <c r="A52" s="62" t="s">
        <v>376</v>
      </c>
      <c r="B52" s="194" t="s">
        <v>377</v>
      </c>
      <c r="C52" s="194"/>
      <c r="D52" s="194"/>
      <c r="E52" s="65">
        <v>1.5</v>
      </c>
      <c r="F52" s="65" t="s">
        <v>41</v>
      </c>
    </row>
    <row r="53" spans="1:6" ht="13.5" customHeight="1" x14ac:dyDescent="0.25">
      <c r="A53" s="62" t="s">
        <v>378</v>
      </c>
      <c r="B53" s="195" t="s">
        <v>379</v>
      </c>
      <c r="C53" s="195"/>
      <c r="D53" s="195"/>
      <c r="E53" s="65">
        <v>0.95</v>
      </c>
      <c r="F53" s="65" t="s">
        <v>41</v>
      </c>
    </row>
    <row r="54" spans="1:6" ht="13.5" customHeight="1" x14ac:dyDescent="0.25">
      <c r="A54" s="62" t="s">
        <v>380</v>
      </c>
      <c r="B54" s="195" t="s">
        <v>381</v>
      </c>
      <c r="C54" s="195"/>
      <c r="D54" s="195"/>
      <c r="E54" s="65">
        <v>1.3</v>
      </c>
      <c r="F54" s="65" t="s">
        <v>41</v>
      </c>
    </row>
    <row r="55" spans="1:6" ht="13.5" customHeight="1" x14ac:dyDescent="0.25">
      <c r="A55" s="62" t="s">
        <v>382</v>
      </c>
      <c r="B55" s="195" t="s">
        <v>383</v>
      </c>
      <c r="C55" s="195"/>
      <c r="D55" s="195"/>
      <c r="E55" s="65">
        <v>0.95</v>
      </c>
      <c r="F55" s="65" t="s">
        <v>41</v>
      </c>
    </row>
    <row r="56" spans="1:6" ht="22.2" customHeight="1" x14ac:dyDescent="0.25">
      <c r="A56" s="189" t="s">
        <v>384</v>
      </c>
      <c r="B56" s="189"/>
      <c r="C56" s="189"/>
      <c r="D56" s="189"/>
      <c r="E56" s="189"/>
      <c r="F56" s="189"/>
    </row>
    <row r="57" spans="1:6" ht="3.75" customHeight="1" x14ac:dyDescent="0.25"/>
    <row r="58" spans="1:6" ht="19.2" customHeight="1" x14ac:dyDescent="0.25">
      <c r="A58" s="190" t="s">
        <v>149</v>
      </c>
      <c r="B58" s="190"/>
      <c r="C58" s="190"/>
      <c r="D58" s="190"/>
      <c r="E58" s="190"/>
      <c r="F58" s="107"/>
    </row>
    <row r="59" spans="1:6" ht="19.2" customHeight="1" x14ac:dyDescent="0.25">
      <c r="A59" s="107"/>
      <c r="B59" s="107"/>
      <c r="C59" s="107"/>
      <c r="D59" s="107"/>
      <c r="E59" s="107"/>
      <c r="F59" s="107"/>
    </row>
    <row r="60" spans="1:6" ht="19.2" customHeight="1" x14ac:dyDescent="0.25">
      <c r="A60" s="107"/>
      <c r="B60" s="107"/>
      <c r="C60" s="107"/>
      <c r="D60" s="107"/>
      <c r="E60" s="107"/>
      <c r="F60" s="107"/>
    </row>
    <row r="61" spans="1:6" ht="30" customHeight="1" x14ac:dyDescent="0.25"/>
    <row r="62" spans="1:6" ht="30" customHeight="1" x14ac:dyDescent="0.25"/>
    <row r="63" spans="1:6" ht="30" customHeight="1" x14ac:dyDescent="0.25"/>
    <row r="64" spans="1:6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25.05" customHeight="1" x14ac:dyDescent="0.25"/>
  </sheetData>
  <mergeCells count="53">
    <mergeCell ref="B40:D40"/>
    <mergeCell ref="B41:D41"/>
    <mergeCell ref="D43:E43"/>
    <mergeCell ref="B36:D36"/>
    <mergeCell ref="B33:D33"/>
    <mergeCell ref="B34:D34"/>
    <mergeCell ref="B35:D35"/>
    <mergeCell ref="B38:D38"/>
    <mergeCell ref="B39:D39"/>
    <mergeCell ref="B28:D28"/>
    <mergeCell ref="B29:D29"/>
    <mergeCell ref="A56:F56"/>
    <mergeCell ref="A58:E58"/>
    <mergeCell ref="B45:D45"/>
    <mergeCell ref="B46:D46"/>
    <mergeCell ref="B47:D47"/>
    <mergeCell ref="B48:D48"/>
    <mergeCell ref="B51:D51"/>
    <mergeCell ref="B52:D52"/>
    <mergeCell ref="B53:D53"/>
    <mergeCell ref="B54:D54"/>
    <mergeCell ref="B55:D55"/>
    <mergeCell ref="B44:D44"/>
    <mergeCell ref="B31:D31"/>
    <mergeCell ref="B32:D32"/>
    <mergeCell ref="B30:D30"/>
    <mergeCell ref="B24:D24"/>
    <mergeCell ref="B12:D12"/>
    <mergeCell ref="B13:D13"/>
    <mergeCell ref="B14:D14"/>
    <mergeCell ref="B15:D15"/>
    <mergeCell ref="B16:D16"/>
    <mergeCell ref="B17:D17"/>
    <mergeCell ref="B18:D18"/>
    <mergeCell ref="D20:E20"/>
    <mergeCell ref="B21:D21"/>
    <mergeCell ref="B22:D22"/>
    <mergeCell ref="B23:D23"/>
    <mergeCell ref="B25:D25"/>
    <mergeCell ref="B26:D26"/>
    <mergeCell ref="B27:D27"/>
    <mergeCell ref="B11:D11"/>
    <mergeCell ref="A1:F1"/>
    <mergeCell ref="A3:B3"/>
    <mergeCell ref="D3:F3"/>
    <mergeCell ref="A4:E4"/>
    <mergeCell ref="A5:E5"/>
    <mergeCell ref="A6:E6"/>
    <mergeCell ref="A7:C7"/>
    <mergeCell ref="D8:E8"/>
    <mergeCell ref="B9:D9"/>
    <mergeCell ref="B10:D10"/>
    <mergeCell ref="A2:F2"/>
  </mergeCells>
  <conditionalFormatting sqref="A39:A41 B44:B48">
    <cfRule type="expression" dxfId="72" priority="68" stopIfTrue="1">
      <formula>MOD(ROW(),2)=0</formula>
    </cfRule>
  </conditionalFormatting>
  <conditionalFormatting sqref="A39:A41">
    <cfRule type="expression" priority="69" stopIfTrue="1">
      <formula>MOD(ROW,2)=0</formula>
    </cfRule>
  </conditionalFormatting>
  <conditionalFormatting sqref="A45 E22:F41">
    <cfRule type="expression" priority="79" stopIfTrue="1">
      <formula>MOD(ROW,2)=0</formula>
    </cfRule>
  </conditionalFormatting>
  <conditionalFormatting sqref="A45">
    <cfRule type="expression" dxfId="71" priority="78" stopIfTrue="1">
      <formula>MOD(ROW(),2)=0</formula>
    </cfRule>
  </conditionalFormatting>
  <conditionalFormatting sqref="A10:B14">
    <cfRule type="expression" priority="72" stopIfTrue="1">
      <formula>MOD(ROW,2)=0</formula>
    </cfRule>
  </conditionalFormatting>
  <conditionalFormatting sqref="A10:B19 E10:F19">
    <cfRule type="expression" dxfId="70" priority="80" stopIfTrue="1">
      <formula>MOD(ROW(),2)=0</formula>
    </cfRule>
  </conditionalFormatting>
  <conditionalFormatting sqref="A24:B25 A27:B27">
    <cfRule type="expression" priority="57" stopIfTrue="1">
      <formula>MOD(ROW,2)=0</formula>
    </cfRule>
    <cfRule type="expression" dxfId="69" priority="56" stopIfTrue="1">
      <formula>MOD(ROW(),2)=0</formula>
    </cfRule>
  </conditionalFormatting>
  <conditionalFormatting sqref="A26:B26">
    <cfRule type="expression" priority="21" stopIfTrue="1">
      <formula>MOD(ROW,2)=0</formula>
    </cfRule>
    <cfRule type="expression" dxfId="68" priority="20" stopIfTrue="1">
      <formula>MOD(ROW(),2)=0</formula>
    </cfRule>
  </conditionalFormatting>
  <conditionalFormatting sqref="A29:B30">
    <cfRule type="expression" dxfId="67" priority="50" stopIfTrue="1">
      <formula>MOD(ROW(),2)=0</formula>
    </cfRule>
    <cfRule type="expression" priority="51" stopIfTrue="1">
      <formula>MOD(ROW,2)=0</formula>
    </cfRule>
  </conditionalFormatting>
  <conditionalFormatting sqref="A30:B30">
    <cfRule type="expression" priority="47" stopIfTrue="1">
      <formula>MOD(ROW,2)=0</formula>
    </cfRule>
    <cfRule type="expression" dxfId="66" priority="46" stopIfTrue="1">
      <formula>MOD(ROW(),2)=0</formula>
    </cfRule>
  </conditionalFormatting>
  <conditionalFormatting sqref="A33:B34">
    <cfRule type="expression" dxfId="65" priority="44" stopIfTrue="1">
      <formula>MOD(ROW(),2)=0</formula>
    </cfRule>
    <cfRule type="expression" priority="45" stopIfTrue="1">
      <formula>MOD(ROW,2)=0</formula>
    </cfRule>
  </conditionalFormatting>
  <conditionalFormatting sqref="A34:B34">
    <cfRule type="expression" dxfId="64" priority="60" stopIfTrue="1">
      <formula>MOD(ROW(),2)=0</formula>
    </cfRule>
    <cfRule type="expression" priority="61" stopIfTrue="1">
      <formula>MOD(ROW,2)=0</formula>
    </cfRule>
  </conditionalFormatting>
  <conditionalFormatting sqref="A36:B37">
    <cfRule type="expression" dxfId="63" priority="38" stopIfTrue="1">
      <formula>MOD(ROW(),2)=0</formula>
    </cfRule>
    <cfRule type="expression" priority="39" stopIfTrue="1">
      <formula>MOD(ROW,2)=0</formula>
    </cfRule>
    <cfRule type="expression" dxfId="62" priority="40" stopIfTrue="1">
      <formula>MOD(ROW(),2)=0</formula>
    </cfRule>
    <cfRule type="expression" priority="41" stopIfTrue="1">
      <formula>MOD(ROW,2)=0</formula>
    </cfRule>
  </conditionalFormatting>
  <conditionalFormatting sqref="A38:B41">
    <cfRule type="expression" priority="67" stopIfTrue="1">
      <formula>MOD(ROW,2)=0</formula>
    </cfRule>
  </conditionalFormatting>
  <conditionalFormatting sqref="A39:B41">
    <cfRule type="expression" dxfId="61" priority="66" stopIfTrue="1">
      <formula>MOD(ROW(),2)=0</formula>
    </cfRule>
  </conditionalFormatting>
  <conditionalFormatting sqref="A52:B54">
    <cfRule type="expression" dxfId="60" priority="34" stopIfTrue="1">
      <formula>MOD(ROW(),2)=0</formula>
    </cfRule>
    <cfRule type="expression" priority="35" stopIfTrue="1">
      <formula>MOD(ROW,2)=0</formula>
    </cfRule>
  </conditionalFormatting>
  <conditionalFormatting sqref="A13:F14 A16:F18 A48">
    <cfRule type="expression" priority="74" stopIfTrue="1">
      <formula>MOD(ROW,2)=0</formula>
    </cfRule>
    <cfRule type="expression" dxfId="59" priority="73" stopIfTrue="1">
      <formula>MOD(ROW(),2)=0</formula>
    </cfRule>
  </conditionalFormatting>
  <conditionalFormatting sqref="A23:F23">
    <cfRule type="expression" dxfId="58" priority="70" stopIfTrue="1">
      <formula>MOD(ROW(),2)=0</formula>
    </cfRule>
    <cfRule type="expression" priority="71" stopIfTrue="1">
      <formula>MOD(ROW,2)=0</formula>
    </cfRule>
  </conditionalFormatting>
  <conditionalFormatting sqref="B25:B26">
    <cfRule type="expression" dxfId="57" priority="19" stopIfTrue="1">
      <formula>MOD(ROW(),2)=0</formula>
    </cfRule>
  </conditionalFormatting>
  <conditionalFormatting sqref="B27:B28 B25">
    <cfRule type="expression" priority="55" stopIfTrue="1">
      <formula>MOD(ROW,2)=0</formula>
    </cfRule>
  </conditionalFormatting>
  <conditionalFormatting sqref="B27:B28">
    <cfRule type="expression" dxfId="56" priority="54" stopIfTrue="1">
      <formula>MOD(ROW(),2)=0</formula>
    </cfRule>
  </conditionalFormatting>
  <conditionalFormatting sqref="B28">
    <cfRule type="expression" priority="31" stopIfTrue="1">
      <formula>MOD(ROW,2)=0</formula>
    </cfRule>
    <cfRule type="expression" dxfId="55" priority="30" stopIfTrue="1">
      <formula>MOD(ROW(),2)=0</formula>
    </cfRule>
  </conditionalFormatting>
  <conditionalFormatting sqref="B39:B41">
    <cfRule type="expression" dxfId="54" priority="64" stopIfTrue="1">
      <formula>MOD(ROW(),2)=0</formula>
    </cfRule>
    <cfRule type="expression" priority="65" stopIfTrue="1">
      <formula>MOD(ROW,2)=0</formula>
    </cfRule>
  </conditionalFormatting>
  <conditionalFormatting sqref="B45:B48">
    <cfRule type="expression" priority="75" stopIfTrue="1">
      <formula>MOD(ROW,2)=0</formula>
    </cfRule>
  </conditionalFormatting>
  <conditionalFormatting sqref="C42:F42">
    <cfRule type="expression" priority="29" stopIfTrue="1">
      <formula>MOD(ROW,2)=0</formula>
    </cfRule>
    <cfRule type="expression" dxfId="53" priority="28" stopIfTrue="1">
      <formula>MOD(ROW(),2)=0</formula>
    </cfRule>
  </conditionalFormatting>
  <conditionalFormatting sqref="C49:F49">
    <cfRule type="expression" priority="27" stopIfTrue="1">
      <formula>MOD(ROW,2)=0</formula>
    </cfRule>
    <cfRule type="expression" dxfId="52" priority="26" stopIfTrue="1">
      <formula>MOD(ROW(),2)=0</formula>
    </cfRule>
  </conditionalFormatting>
  <conditionalFormatting sqref="E21 A21:B42 E22:F42 A44:B49 A51:B55 E46:F47">
    <cfRule type="expression" dxfId="51" priority="84" stopIfTrue="1">
      <formula>MOD(ROW(),2)=0</formula>
    </cfRule>
  </conditionalFormatting>
  <conditionalFormatting sqref="E48 E51:F55">
    <cfRule type="expression" priority="77" stopIfTrue="1">
      <formula>MOD(ROW,2)=0</formula>
    </cfRule>
  </conditionalFormatting>
  <conditionalFormatting sqref="E10:F14 A10:B19 E19:F19 B20:B42 A21:A42 E21">
    <cfRule type="expression" priority="81" stopIfTrue="1">
      <formula>MOD(ROW,2)=0</formula>
    </cfRule>
  </conditionalFormatting>
  <conditionalFormatting sqref="E11:F14">
    <cfRule type="expression" dxfId="50" priority="82" stopIfTrue="1">
      <formula>MOD(ROW(),2)=0</formula>
    </cfRule>
  </conditionalFormatting>
  <conditionalFormatting sqref="E11:F15">
    <cfRule type="expression" priority="83" stopIfTrue="1">
      <formula>MOD(ROW,2)=0</formula>
    </cfRule>
  </conditionalFormatting>
  <conditionalFormatting sqref="E24:F24 E26:F26 E28:F28 E31:F32 E35:F35 A44:B49 E46:F47 A51:B55">
    <cfRule type="expression" priority="85" stopIfTrue="1">
      <formula>MOD(ROW,2)=0</formula>
    </cfRule>
  </conditionalFormatting>
  <conditionalFormatting sqref="E24:F27">
    <cfRule type="expression" dxfId="49" priority="17" stopIfTrue="1">
      <formula>MOD(ROW(),2)=0</formula>
    </cfRule>
  </conditionalFormatting>
  <conditionalFormatting sqref="E25:F27">
    <cfRule type="expression" priority="18" stopIfTrue="1">
      <formula>MOD(ROW,2)=0</formula>
    </cfRule>
  </conditionalFormatting>
  <conditionalFormatting sqref="E29:F30">
    <cfRule type="expression" dxfId="48" priority="52" stopIfTrue="1">
      <formula>MOD(ROW(),2)=0</formula>
    </cfRule>
    <cfRule type="expression" priority="53" stopIfTrue="1">
      <formula>MOD(ROW,2)=0</formula>
    </cfRule>
  </conditionalFormatting>
  <conditionalFormatting sqref="E30:F30">
    <cfRule type="expression" dxfId="47" priority="48" stopIfTrue="1">
      <formula>MOD(ROW(),2)=0</formula>
    </cfRule>
    <cfRule type="expression" priority="49" stopIfTrue="1">
      <formula>MOD(ROW,2)=0</formula>
    </cfRule>
  </conditionalFormatting>
  <conditionalFormatting sqref="E33:F37">
    <cfRule type="expression" priority="43" stopIfTrue="1">
      <formula>MOD(ROW,2)=0</formula>
    </cfRule>
    <cfRule type="expression" dxfId="46" priority="36" stopIfTrue="1">
      <formula>MOD(ROW(),2)=0</formula>
    </cfRule>
  </conditionalFormatting>
  <conditionalFormatting sqref="E34:F34">
    <cfRule type="expression" dxfId="45" priority="58" stopIfTrue="1">
      <formula>MOD(ROW(),2)=0</formula>
    </cfRule>
    <cfRule type="expression" priority="59" stopIfTrue="1">
      <formula>MOD(ROW,2)=0</formula>
    </cfRule>
  </conditionalFormatting>
  <conditionalFormatting sqref="E34:F35">
    <cfRule type="expression" dxfId="44" priority="62" stopIfTrue="1">
      <formula>MOD(ROW(),2)=0</formula>
    </cfRule>
    <cfRule type="expression" priority="63" stopIfTrue="1">
      <formula>MOD(ROW,2)=0</formula>
    </cfRule>
  </conditionalFormatting>
  <conditionalFormatting sqref="E36:F37">
    <cfRule type="expression" priority="37" stopIfTrue="1">
      <formula>MOD(ROW,2)=0</formula>
    </cfRule>
  </conditionalFormatting>
  <conditionalFormatting sqref="E36:F39">
    <cfRule type="expression" dxfId="43" priority="42" stopIfTrue="1">
      <formula>MOD(ROW(),2)=0</formula>
    </cfRule>
  </conditionalFormatting>
  <conditionalFormatting sqref="E44:F48">
    <cfRule type="expression" priority="4" stopIfTrue="1">
      <formula>MOD(ROW,2)=0</formula>
    </cfRule>
    <cfRule type="expression" dxfId="42" priority="3" stopIfTrue="1">
      <formula>MOD(ROW(),2)=0</formula>
    </cfRule>
  </conditionalFormatting>
  <conditionalFormatting sqref="E51:F55 E48">
    <cfRule type="expression" dxfId="41" priority="76" stopIfTrue="1">
      <formula>MOD(ROW(),2)=0</formula>
    </cfRule>
  </conditionalFormatting>
  <conditionalFormatting sqref="E53:F53">
    <cfRule type="expression" priority="33" stopIfTrue="1">
      <formula>MOD(ROW,2)=0</formula>
    </cfRule>
    <cfRule type="expression" dxfId="40" priority="32" stopIfTrue="1">
      <formula>MOD(ROW(),2)=0</formula>
    </cfRule>
  </conditionalFormatting>
  <conditionalFormatting sqref="F48">
    <cfRule type="expression" dxfId="39" priority="1" stopIfTrue="1">
      <formula>MOD(ROW(),2)=0</formula>
    </cfRule>
    <cfRule type="expression" priority="2" stopIfTrue="1">
      <formula>MOD(ROW,2)=0</formula>
    </cfRule>
  </conditionalFormatting>
  <printOptions horizontalCentered="1"/>
  <pageMargins left="0.7" right="0.7" top="0.75" bottom="0.75" header="0.3" footer="0.3"/>
  <pageSetup scale="82" orientation="portrait" r:id="rId1"/>
  <headerFooter>
    <oddHeader>&amp;C&amp;G</oddHeader>
    <oddFooter>&amp;L&amp;"Arial,Bold"&amp;9 100 Delaware Street, Forest City, PA 18421
Phone: 570-785-3365, Fax: 570-785-9672&amp;C&amp;"Arial,Bold"&amp;9www.kartri.com
saleinfo@kartri.com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AA0B-FB33-413A-9CCA-26972D50AF14}">
  <sheetPr>
    <tabColor theme="9" tint="-0.249977111117893"/>
    <pageSetUpPr fitToPage="1"/>
  </sheetPr>
  <dimension ref="A1:I61"/>
  <sheetViews>
    <sheetView zoomScaleNormal="100" workbookViewId="0">
      <selection activeCell="K25" sqref="K25"/>
    </sheetView>
  </sheetViews>
  <sheetFormatPr defaultRowHeight="13.2" x14ac:dyDescent="0.25"/>
  <cols>
    <col min="1" max="1" width="11.5546875" style="51" customWidth="1"/>
    <col min="2" max="2" width="11.44140625" style="51" bestFit="1" customWidth="1"/>
    <col min="3" max="3" width="24.109375" style="51" customWidth="1"/>
    <col min="4" max="4" width="21.21875" style="51" customWidth="1"/>
    <col min="5" max="5" width="10.6640625" style="52" bestFit="1" customWidth="1"/>
    <col min="6" max="6" width="11.44140625" style="1" bestFit="1" customWidth="1"/>
    <col min="7" max="7" width="3" style="125" bestFit="1" customWidth="1"/>
    <col min="8" max="8" width="6.109375" style="1" customWidth="1"/>
    <col min="9" max="9" width="6.77734375" style="9" customWidth="1"/>
    <col min="10" max="16384" width="8.88671875" style="1"/>
  </cols>
  <sheetData>
    <row r="1" spans="1:9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</row>
    <row r="2" spans="1:9" s="17" customFormat="1" ht="30" customHeight="1" x14ac:dyDescent="0.3">
      <c r="A2" s="142" t="s">
        <v>385</v>
      </c>
      <c r="B2" s="142"/>
      <c r="C2" s="142"/>
      <c r="D2" s="142"/>
      <c r="E2" s="142"/>
      <c r="F2" s="142"/>
      <c r="G2" s="142"/>
      <c r="H2" s="142"/>
      <c r="I2" s="142"/>
    </row>
    <row r="3" spans="1:9" ht="18" x14ac:dyDescent="0.25">
      <c r="A3" s="179" t="s">
        <v>2</v>
      </c>
      <c r="B3" s="179"/>
      <c r="C3" s="179" t="s">
        <v>386</v>
      </c>
      <c r="D3" s="179"/>
      <c r="E3" s="179" t="s">
        <v>4</v>
      </c>
      <c r="F3" s="179"/>
      <c r="G3" s="179"/>
      <c r="H3" s="179"/>
      <c r="I3" s="179"/>
    </row>
    <row r="4" spans="1:9" x14ac:dyDescent="0.25">
      <c r="A4" s="145" t="s">
        <v>5</v>
      </c>
      <c r="B4" s="145"/>
      <c r="C4" s="145"/>
      <c r="D4" s="145"/>
      <c r="E4" s="145"/>
      <c r="F4" s="145"/>
      <c r="G4" s="145"/>
      <c r="H4" s="145"/>
      <c r="I4" s="6"/>
    </row>
    <row r="5" spans="1:9" x14ac:dyDescent="0.25">
      <c r="A5" s="145" t="s">
        <v>6</v>
      </c>
      <c r="B5" s="145"/>
      <c r="C5" s="145"/>
      <c r="D5" s="145"/>
      <c r="E5" s="145"/>
      <c r="F5" s="145"/>
      <c r="G5" s="145"/>
      <c r="H5" s="145"/>
      <c r="I5" s="6"/>
    </row>
    <row r="6" spans="1:9" x14ac:dyDescent="0.25">
      <c r="A6" s="145" t="s">
        <v>7</v>
      </c>
      <c r="B6" s="145"/>
      <c r="C6" s="145"/>
      <c r="D6" s="145"/>
      <c r="E6" s="145"/>
      <c r="F6" s="145"/>
      <c r="G6" s="145"/>
      <c r="H6" s="145"/>
      <c r="I6" s="6"/>
    </row>
    <row r="7" spans="1:9" s="7" customFormat="1" ht="21.6" customHeight="1" x14ac:dyDescent="0.25">
      <c r="A7" s="148"/>
      <c r="B7" s="148"/>
      <c r="C7" s="148"/>
      <c r="D7" s="148"/>
      <c r="E7" s="148"/>
      <c r="F7" s="148"/>
      <c r="G7" s="148"/>
      <c r="H7" s="148"/>
      <c r="I7" s="56"/>
    </row>
    <row r="8" spans="1:9" ht="19.8" thickBot="1" x14ac:dyDescent="0.4">
      <c r="A8" s="108" t="s">
        <v>387</v>
      </c>
      <c r="B8" s="57"/>
      <c r="C8" s="57"/>
      <c r="D8" s="106" t="s">
        <v>149</v>
      </c>
      <c r="E8" s="106"/>
      <c r="F8" s="109"/>
      <c r="G8" s="110"/>
      <c r="H8" s="109"/>
    </row>
    <row r="9" spans="1:9" ht="15.6" customHeight="1" thickTop="1" thickBot="1" x14ac:dyDescent="0.3">
      <c r="A9" s="59" t="s">
        <v>10</v>
      </c>
      <c r="B9" s="59" t="s">
        <v>154</v>
      </c>
      <c r="C9" s="185" t="s">
        <v>388</v>
      </c>
      <c r="D9" s="200"/>
      <c r="E9" s="60" t="s">
        <v>375</v>
      </c>
      <c r="F9" s="60" t="s">
        <v>158</v>
      </c>
      <c r="G9" s="149" t="s">
        <v>159</v>
      </c>
      <c r="H9" s="149"/>
      <c r="I9" s="61" t="s">
        <v>16</v>
      </c>
    </row>
    <row r="10" spans="1:9" ht="45" hidden="1" customHeight="1" thickTop="1" thickBot="1" x14ac:dyDescent="0.3">
      <c r="A10" s="111" t="s">
        <v>389</v>
      </c>
      <c r="B10" s="112" t="s">
        <v>390</v>
      </c>
      <c r="C10" s="197" t="s">
        <v>391</v>
      </c>
      <c r="D10" s="198"/>
      <c r="E10" s="199" t="s">
        <v>354</v>
      </c>
      <c r="F10" s="199"/>
      <c r="G10" s="199"/>
      <c r="H10" s="199"/>
      <c r="I10" s="113"/>
    </row>
    <row r="11" spans="1:9" ht="12.75" customHeight="1" x14ac:dyDescent="0.25">
      <c r="A11" s="96" t="s">
        <v>392</v>
      </c>
      <c r="B11" s="114" t="s">
        <v>393</v>
      </c>
      <c r="C11" s="186" t="s">
        <v>394</v>
      </c>
      <c r="D11" s="181"/>
      <c r="E11" s="40">
        <v>39.200000000000003</v>
      </c>
      <c r="F11" s="40">
        <f>G11*E11</f>
        <v>392</v>
      </c>
      <c r="G11" s="115">
        <v>10</v>
      </c>
      <c r="H11" s="116" t="s">
        <v>164</v>
      </c>
      <c r="I11" s="117" t="s">
        <v>20</v>
      </c>
    </row>
    <row r="12" spans="1:9" ht="12.75" customHeight="1" x14ac:dyDescent="0.25">
      <c r="A12" s="96" t="s">
        <v>395</v>
      </c>
      <c r="B12" s="114" t="s">
        <v>396</v>
      </c>
      <c r="C12" s="186" t="s">
        <v>397</v>
      </c>
      <c r="D12" s="181"/>
      <c r="E12" s="40">
        <v>35.15</v>
      </c>
      <c r="F12" s="40">
        <f t="shared" ref="F12:F31" si="0">G12*E12</f>
        <v>351.5</v>
      </c>
      <c r="G12" s="115">
        <v>10</v>
      </c>
      <c r="H12" s="116" t="s">
        <v>164</v>
      </c>
      <c r="I12" s="117" t="s">
        <v>20</v>
      </c>
    </row>
    <row r="13" spans="1:9" ht="12.75" customHeight="1" x14ac:dyDescent="0.25">
      <c r="A13" s="96" t="s">
        <v>398</v>
      </c>
      <c r="B13" s="114" t="s">
        <v>399</v>
      </c>
      <c r="C13" s="186" t="s">
        <v>400</v>
      </c>
      <c r="D13" s="181"/>
      <c r="E13" s="40">
        <v>33.75</v>
      </c>
      <c r="F13" s="40">
        <f t="shared" si="0"/>
        <v>337.5</v>
      </c>
      <c r="G13" s="115">
        <v>10</v>
      </c>
      <c r="H13" s="116" t="s">
        <v>164</v>
      </c>
      <c r="I13" s="117" t="s">
        <v>20</v>
      </c>
    </row>
    <row r="14" spans="1:9" ht="12.75" customHeight="1" x14ac:dyDescent="0.25">
      <c r="A14" s="91" t="s">
        <v>401</v>
      </c>
      <c r="B14" s="118" t="s">
        <v>393</v>
      </c>
      <c r="C14" s="187" t="s">
        <v>402</v>
      </c>
      <c r="D14" s="187"/>
      <c r="E14" s="92">
        <v>43.75</v>
      </c>
      <c r="F14" s="92">
        <f t="shared" si="0"/>
        <v>262.5</v>
      </c>
      <c r="G14" s="119">
        <v>6</v>
      </c>
      <c r="H14" s="120" t="s">
        <v>164</v>
      </c>
      <c r="I14" s="117" t="s">
        <v>20</v>
      </c>
    </row>
    <row r="15" spans="1:9" ht="12.75" customHeight="1" x14ac:dyDescent="0.25">
      <c r="A15" s="91" t="s">
        <v>403</v>
      </c>
      <c r="B15" s="118" t="s">
        <v>396</v>
      </c>
      <c r="C15" s="187" t="s">
        <v>404</v>
      </c>
      <c r="D15" s="187"/>
      <c r="E15" s="92">
        <v>39.4</v>
      </c>
      <c r="F15" s="92">
        <f t="shared" si="0"/>
        <v>315.2</v>
      </c>
      <c r="G15" s="119">
        <v>8</v>
      </c>
      <c r="H15" s="120" t="s">
        <v>164</v>
      </c>
      <c r="I15" s="117" t="s">
        <v>20</v>
      </c>
    </row>
    <row r="16" spans="1:9" ht="12.75" customHeight="1" x14ac:dyDescent="0.25">
      <c r="A16" s="91" t="s">
        <v>405</v>
      </c>
      <c r="B16" s="118" t="s">
        <v>399</v>
      </c>
      <c r="C16" s="187" t="s">
        <v>406</v>
      </c>
      <c r="D16" s="187"/>
      <c r="E16" s="92">
        <v>37.75</v>
      </c>
      <c r="F16" s="92">
        <f t="shared" si="0"/>
        <v>302</v>
      </c>
      <c r="G16" s="119">
        <v>8</v>
      </c>
      <c r="H16" s="120" t="s">
        <v>164</v>
      </c>
      <c r="I16" s="117" t="s">
        <v>20</v>
      </c>
    </row>
    <row r="17" spans="1:9" ht="12.75" customHeight="1" x14ac:dyDescent="0.25">
      <c r="A17" s="91" t="s">
        <v>407</v>
      </c>
      <c r="B17" s="118" t="s">
        <v>408</v>
      </c>
      <c r="C17" s="187" t="s">
        <v>409</v>
      </c>
      <c r="D17" s="187"/>
      <c r="E17" s="92">
        <v>33.4</v>
      </c>
      <c r="F17" s="92">
        <f t="shared" si="0"/>
        <v>334</v>
      </c>
      <c r="G17" s="119">
        <v>10</v>
      </c>
      <c r="H17" s="120" t="s">
        <v>164</v>
      </c>
      <c r="I17" s="117" t="s">
        <v>20</v>
      </c>
    </row>
    <row r="18" spans="1:9" ht="12.75" customHeight="1" x14ac:dyDescent="0.25">
      <c r="A18" s="91" t="s">
        <v>410</v>
      </c>
      <c r="B18" s="118" t="s">
        <v>411</v>
      </c>
      <c r="C18" s="187" t="s">
        <v>412</v>
      </c>
      <c r="D18" s="187"/>
      <c r="E18" s="92">
        <v>11.45</v>
      </c>
      <c r="F18" s="92">
        <f t="shared" si="0"/>
        <v>137.39999999999998</v>
      </c>
      <c r="G18" s="119">
        <v>12</v>
      </c>
      <c r="H18" s="120" t="s">
        <v>164</v>
      </c>
      <c r="I18" s="117" t="s">
        <v>20</v>
      </c>
    </row>
    <row r="19" spans="1:9" ht="12.75" customHeight="1" x14ac:dyDescent="0.25">
      <c r="A19" s="94" t="s">
        <v>413</v>
      </c>
      <c r="B19" s="121" t="s">
        <v>393</v>
      </c>
      <c r="C19" s="188" t="s">
        <v>414</v>
      </c>
      <c r="D19" s="201"/>
      <c r="E19" s="117">
        <v>43.75</v>
      </c>
      <c r="F19" s="40">
        <f t="shared" si="0"/>
        <v>262.5</v>
      </c>
      <c r="G19" s="122">
        <v>6</v>
      </c>
      <c r="H19" s="116" t="s">
        <v>164</v>
      </c>
      <c r="I19" s="117" t="s">
        <v>20</v>
      </c>
    </row>
    <row r="20" spans="1:9" ht="12.75" customHeight="1" x14ac:dyDescent="0.25">
      <c r="A20" s="94" t="s">
        <v>415</v>
      </c>
      <c r="B20" s="121" t="s">
        <v>396</v>
      </c>
      <c r="C20" s="188" t="s">
        <v>416</v>
      </c>
      <c r="D20" s="201"/>
      <c r="E20" s="117">
        <v>39.4</v>
      </c>
      <c r="F20" s="40">
        <f t="shared" si="0"/>
        <v>315.2</v>
      </c>
      <c r="G20" s="122">
        <v>8</v>
      </c>
      <c r="H20" s="116" t="s">
        <v>164</v>
      </c>
      <c r="I20" s="117" t="s">
        <v>20</v>
      </c>
    </row>
    <row r="21" spans="1:9" ht="12.75" customHeight="1" x14ac:dyDescent="0.25">
      <c r="A21" s="39" t="s">
        <v>417</v>
      </c>
      <c r="B21" s="114" t="s">
        <v>399</v>
      </c>
      <c r="C21" s="187" t="s">
        <v>418</v>
      </c>
      <c r="D21" s="181"/>
      <c r="E21" s="92">
        <v>37.75</v>
      </c>
      <c r="F21" s="40">
        <f t="shared" si="0"/>
        <v>302</v>
      </c>
      <c r="G21" s="115">
        <v>8</v>
      </c>
      <c r="H21" s="116" t="s">
        <v>164</v>
      </c>
      <c r="I21" s="117" t="s">
        <v>20</v>
      </c>
    </row>
    <row r="22" spans="1:9" ht="12.75" customHeight="1" x14ac:dyDescent="0.25">
      <c r="A22" s="39" t="s">
        <v>419</v>
      </c>
      <c r="B22" s="114" t="s">
        <v>408</v>
      </c>
      <c r="C22" s="186" t="s">
        <v>420</v>
      </c>
      <c r="D22" s="181"/>
      <c r="E22" s="40">
        <v>33.4</v>
      </c>
      <c r="F22" s="40">
        <f t="shared" si="0"/>
        <v>334</v>
      </c>
      <c r="G22" s="115">
        <v>10</v>
      </c>
      <c r="H22" s="116" t="s">
        <v>164</v>
      </c>
      <c r="I22" s="117" t="s">
        <v>20</v>
      </c>
    </row>
    <row r="23" spans="1:9" ht="45" hidden="1" customHeight="1" x14ac:dyDescent="0.25">
      <c r="A23" s="111" t="s">
        <v>421</v>
      </c>
      <c r="B23" s="112" t="s">
        <v>390</v>
      </c>
      <c r="C23" s="197" t="s">
        <v>422</v>
      </c>
      <c r="D23" s="198"/>
      <c r="E23" s="203" t="s">
        <v>354</v>
      </c>
      <c r="F23" s="203"/>
      <c r="G23" s="203"/>
      <c r="H23" s="203"/>
      <c r="I23" s="117" t="s">
        <v>20</v>
      </c>
    </row>
    <row r="24" spans="1:9" ht="12.75" customHeight="1" x14ac:dyDescent="0.25">
      <c r="A24" s="39" t="s">
        <v>423</v>
      </c>
      <c r="B24" s="114" t="s">
        <v>424</v>
      </c>
      <c r="C24" s="187" t="s">
        <v>425</v>
      </c>
      <c r="D24" s="181"/>
      <c r="E24" s="92">
        <v>31.9</v>
      </c>
      <c r="F24" s="40">
        <f t="shared" si="0"/>
        <v>191.39999999999998</v>
      </c>
      <c r="G24" s="115">
        <v>6</v>
      </c>
      <c r="H24" s="116" t="s">
        <v>164</v>
      </c>
      <c r="I24" s="117" t="s">
        <v>69</v>
      </c>
    </row>
    <row r="25" spans="1:9" ht="12.75" customHeight="1" x14ac:dyDescent="0.25">
      <c r="A25" s="39" t="s">
        <v>426</v>
      </c>
      <c r="B25" s="114" t="s">
        <v>427</v>
      </c>
      <c r="C25" s="186" t="s">
        <v>428</v>
      </c>
      <c r="D25" s="181"/>
      <c r="E25" s="92">
        <v>27.85</v>
      </c>
      <c r="F25" s="40">
        <f t="shared" si="0"/>
        <v>167.10000000000002</v>
      </c>
      <c r="G25" s="115">
        <v>6</v>
      </c>
      <c r="H25" s="116" t="s">
        <v>164</v>
      </c>
      <c r="I25" s="117" t="s">
        <v>69</v>
      </c>
    </row>
    <row r="26" spans="1:9" ht="12.75" customHeight="1" x14ac:dyDescent="0.25">
      <c r="A26" s="39" t="s">
        <v>429</v>
      </c>
      <c r="B26" s="114" t="s">
        <v>430</v>
      </c>
      <c r="C26" s="186" t="s">
        <v>431</v>
      </c>
      <c r="D26" s="181"/>
      <c r="E26" s="92">
        <v>26.3</v>
      </c>
      <c r="F26" s="40">
        <f t="shared" si="0"/>
        <v>157.80000000000001</v>
      </c>
      <c r="G26" s="115">
        <v>6</v>
      </c>
      <c r="H26" s="116" t="s">
        <v>164</v>
      </c>
      <c r="I26" s="117" t="s">
        <v>69</v>
      </c>
    </row>
    <row r="27" spans="1:9" ht="12.75" customHeight="1" x14ac:dyDescent="0.25">
      <c r="A27" s="39" t="s">
        <v>432</v>
      </c>
      <c r="B27" s="114" t="s">
        <v>433</v>
      </c>
      <c r="C27" s="186" t="s">
        <v>434</v>
      </c>
      <c r="D27" s="181"/>
      <c r="E27" s="92">
        <v>23.6</v>
      </c>
      <c r="F27" s="40">
        <f t="shared" si="0"/>
        <v>141.60000000000002</v>
      </c>
      <c r="G27" s="115">
        <v>6</v>
      </c>
      <c r="H27" s="116" t="s">
        <v>164</v>
      </c>
      <c r="I27" s="117" t="s">
        <v>69</v>
      </c>
    </row>
    <row r="28" spans="1:9" ht="12.75" customHeight="1" x14ac:dyDescent="0.25">
      <c r="A28" s="39" t="s">
        <v>435</v>
      </c>
      <c r="B28" s="114" t="s">
        <v>424</v>
      </c>
      <c r="C28" s="186" t="s">
        <v>436</v>
      </c>
      <c r="D28" s="181"/>
      <c r="E28" s="92">
        <v>31.9</v>
      </c>
      <c r="F28" s="40">
        <f t="shared" si="0"/>
        <v>191.39999999999998</v>
      </c>
      <c r="G28" s="115">
        <v>6</v>
      </c>
      <c r="H28" s="116" t="s">
        <v>164</v>
      </c>
      <c r="I28" s="117" t="s">
        <v>69</v>
      </c>
    </row>
    <row r="29" spans="1:9" ht="12.75" customHeight="1" x14ac:dyDescent="0.25">
      <c r="A29" s="39" t="s">
        <v>437</v>
      </c>
      <c r="B29" s="114" t="s">
        <v>427</v>
      </c>
      <c r="C29" s="186" t="s">
        <v>438</v>
      </c>
      <c r="D29" s="181"/>
      <c r="E29" s="92">
        <v>27.85</v>
      </c>
      <c r="F29" s="40">
        <f t="shared" si="0"/>
        <v>167.10000000000002</v>
      </c>
      <c r="G29" s="115">
        <v>6</v>
      </c>
      <c r="H29" s="116" t="s">
        <v>164</v>
      </c>
      <c r="I29" s="117" t="s">
        <v>69</v>
      </c>
    </row>
    <row r="30" spans="1:9" ht="12.75" customHeight="1" x14ac:dyDescent="0.25">
      <c r="A30" s="39" t="s">
        <v>439</v>
      </c>
      <c r="B30" s="114" t="s">
        <v>430</v>
      </c>
      <c r="C30" s="186" t="s">
        <v>440</v>
      </c>
      <c r="D30" s="181"/>
      <c r="E30" s="92">
        <v>26.3</v>
      </c>
      <c r="F30" s="40">
        <f t="shared" si="0"/>
        <v>157.80000000000001</v>
      </c>
      <c r="G30" s="122">
        <v>6</v>
      </c>
      <c r="H30" s="116" t="s">
        <v>164</v>
      </c>
      <c r="I30" s="117" t="s">
        <v>69</v>
      </c>
    </row>
    <row r="31" spans="1:9" ht="12.75" customHeight="1" x14ac:dyDescent="0.25">
      <c r="A31" s="39" t="s">
        <v>441</v>
      </c>
      <c r="B31" s="114" t="s">
        <v>433</v>
      </c>
      <c r="C31" s="186" t="s">
        <v>442</v>
      </c>
      <c r="D31" s="181"/>
      <c r="E31" s="92">
        <v>23.6</v>
      </c>
      <c r="F31" s="40">
        <f t="shared" si="0"/>
        <v>141.60000000000002</v>
      </c>
      <c r="G31" s="122">
        <v>6</v>
      </c>
      <c r="H31" s="116" t="s">
        <v>164</v>
      </c>
      <c r="I31" s="117" t="s">
        <v>69</v>
      </c>
    </row>
    <row r="32" spans="1:9" ht="3.45" customHeight="1" x14ac:dyDescent="0.25">
      <c r="A32" s="94"/>
      <c r="B32" s="121"/>
      <c r="C32" s="123"/>
      <c r="D32" s="123"/>
      <c r="E32" s="117"/>
      <c r="F32" s="117"/>
      <c r="G32" s="115">
        <v>4</v>
      </c>
      <c r="H32" s="116"/>
      <c r="I32" s="117"/>
    </row>
    <row r="33" spans="1:9" ht="19.8" thickBot="1" x14ac:dyDescent="0.35">
      <c r="A33" s="108" t="s">
        <v>443</v>
      </c>
      <c r="B33" s="57"/>
      <c r="C33" s="57"/>
      <c r="D33" s="124"/>
      <c r="E33" s="58"/>
      <c r="F33" s="58"/>
      <c r="G33" s="58"/>
      <c r="H33" s="58"/>
      <c r="I33" s="58"/>
    </row>
    <row r="34" spans="1:9" ht="15" thickTop="1" thickBot="1" x14ac:dyDescent="0.3">
      <c r="A34" s="59" t="s">
        <v>10</v>
      </c>
      <c r="B34" s="59" t="s">
        <v>154</v>
      </c>
      <c r="C34" s="185" t="s">
        <v>388</v>
      </c>
      <c r="D34" s="200"/>
      <c r="E34" s="60" t="s">
        <v>375</v>
      </c>
      <c r="F34" s="60" t="s">
        <v>158</v>
      </c>
      <c r="G34" s="202" t="s">
        <v>159</v>
      </c>
      <c r="H34" s="202"/>
      <c r="I34" s="59" t="s">
        <v>16</v>
      </c>
    </row>
    <row r="35" spans="1:9" ht="12.75" customHeight="1" x14ac:dyDescent="0.25">
      <c r="A35" s="39" t="s">
        <v>444</v>
      </c>
      <c r="B35" s="114" t="s">
        <v>393</v>
      </c>
      <c r="C35" s="204" t="s">
        <v>445</v>
      </c>
      <c r="D35" s="201"/>
      <c r="E35" s="92">
        <v>36</v>
      </c>
      <c r="F35" s="40">
        <f t="shared" ref="F35:F47" si="1">G35*E35</f>
        <v>360</v>
      </c>
      <c r="G35" s="115">
        <v>10</v>
      </c>
      <c r="H35" s="116" t="s">
        <v>164</v>
      </c>
      <c r="I35" s="117" t="s">
        <v>20</v>
      </c>
    </row>
    <row r="36" spans="1:9" ht="12.75" customHeight="1" x14ac:dyDescent="0.25">
      <c r="A36" s="39" t="s">
        <v>446</v>
      </c>
      <c r="B36" s="114" t="s">
        <v>396</v>
      </c>
      <c r="C36" s="186" t="s">
        <v>447</v>
      </c>
      <c r="D36" s="181"/>
      <c r="E36" s="92">
        <v>32.049999999999997</v>
      </c>
      <c r="F36" s="40">
        <f t="shared" si="1"/>
        <v>320.5</v>
      </c>
      <c r="G36" s="115">
        <v>10</v>
      </c>
      <c r="H36" s="116" t="s">
        <v>164</v>
      </c>
      <c r="I36" s="117" t="s">
        <v>20</v>
      </c>
    </row>
    <row r="37" spans="1:9" ht="12.75" customHeight="1" x14ac:dyDescent="0.25">
      <c r="A37" s="39" t="s">
        <v>448</v>
      </c>
      <c r="B37" s="114" t="s">
        <v>408</v>
      </c>
      <c r="C37" s="186" t="s">
        <v>449</v>
      </c>
      <c r="D37" s="181"/>
      <c r="E37" s="92">
        <v>25.85</v>
      </c>
      <c r="F37" s="40">
        <f t="shared" si="1"/>
        <v>258.5</v>
      </c>
      <c r="G37" s="115">
        <v>10</v>
      </c>
      <c r="H37" s="116" t="s">
        <v>164</v>
      </c>
      <c r="I37" s="117" t="s">
        <v>20</v>
      </c>
    </row>
    <row r="38" spans="1:9" ht="12.75" customHeight="1" x14ac:dyDescent="0.25">
      <c r="A38" s="94" t="s">
        <v>450</v>
      </c>
      <c r="B38" s="121" t="s">
        <v>393</v>
      </c>
      <c r="C38" s="188" t="s">
        <v>451</v>
      </c>
      <c r="D38" s="187"/>
      <c r="E38" s="95">
        <v>36</v>
      </c>
      <c r="F38" s="40">
        <f t="shared" si="1"/>
        <v>360</v>
      </c>
      <c r="G38" s="115">
        <v>10</v>
      </c>
      <c r="H38" s="116" t="s">
        <v>164</v>
      </c>
      <c r="I38" s="117" t="s">
        <v>20</v>
      </c>
    </row>
    <row r="39" spans="1:9" ht="12.75" customHeight="1" x14ac:dyDescent="0.25">
      <c r="A39" s="94" t="s">
        <v>452</v>
      </c>
      <c r="B39" s="121" t="s">
        <v>396</v>
      </c>
      <c r="C39" s="188" t="s">
        <v>453</v>
      </c>
      <c r="D39" s="187"/>
      <c r="E39" s="95">
        <v>32.049999999999997</v>
      </c>
      <c r="F39" s="40">
        <f t="shared" si="1"/>
        <v>320.5</v>
      </c>
      <c r="G39" s="115">
        <v>10</v>
      </c>
      <c r="H39" s="116" t="s">
        <v>164</v>
      </c>
      <c r="I39" s="117" t="s">
        <v>20</v>
      </c>
    </row>
    <row r="40" spans="1:9" ht="12.75" customHeight="1" x14ac:dyDescent="0.25">
      <c r="A40" s="94" t="s">
        <v>454</v>
      </c>
      <c r="B40" s="114" t="s">
        <v>408</v>
      </c>
      <c r="C40" s="188" t="s">
        <v>455</v>
      </c>
      <c r="D40" s="187"/>
      <c r="E40" s="95">
        <v>25.85</v>
      </c>
      <c r="F40" s="40">
        <f t="shared" si="1"/>
        <v>258.5</v>
      </c>
      <c r="G40" s="115">
        <v>10</v>
      </c>
      <c r="H40" s="116" t="s">
        <v>164</v>
      </c>
      <c r="I40" s="117" t="s">
        <v>20</v>
      </c>
    </row>
    <row r="41" spans="1:9" ht="12.75" customHeight="1" x14ac:dyDescent="0.25">
      <c r="A41" s="39" t="s">
        <v>456</v>
      </c>
      <c r="B41" s="114" t="s">
        <v>393</v>
      </c>
      <c r="C41" s="187" t="s">
        <v>457</v>
      </c>
      <c r="D41" s="187"/>
      <c r="E41" s="95">
        <v>36</v>
      </c>
      <c r="F41" s="40">
        <f t="shared" si="1"/>
        <v>360</v>
      </c>
      <c r="G41" s="122">
        <v>10</v>
      </c>
      <c r="H41" s="116" t="s">
        <v>164</v>
      </c>
      <c r="I41" s="117" t="s">
        <v>20</v>
      </c>
    </row>
    <row r="42" spans="1:9" ht="12.75" customHeight="1" x14ac:dyDescent="0.25">
      <c r="A42" s="39" t="s">
        <v>458</v>
      </c>
      <c r="B42" s="114" t="s">
        <v>396</v>
      </c>
      <c r="C42" s="187" t="s">
        <v>459</v>
      </c>
      <c r="D42" s="187"/>
      <c r="E42" s="95">
        <v>32.049999999999997</v>
      </c>
      <c r="F42" s="40">
        <f t="shared" si="1"/>
        <v>320.5</v>
      </c>
      <c r="G42" s="122">
        <v>10</v>
      </c>
      <c r="H42" s="116" t="s">
        <v>164</v>
      </c>
      <c r="I42" s="117" t="s">
        <v>20</v>
      </c>
    </row>
    <row r="43" spans="1:9" ht="12.75" customHeight="1" x14ac:dyDescent="0.25">
      <c r="A43" s="39" t="s">
        <v>460</v>
      </c>
      <c r="B43" s="114" t="s">
        <v>408</v>
      </c>
      <c r="C43" s="187" t="s">
        <v>461</v>
      </c>
      <c r="D43" s="187"/>
      <c r="E43" s="95">
        <v>25.85</v>
      </c>
      <c r="F43" s="40">
        <f t="shared" si="1"/>
        <v>258.5</v>
      </c>
      <c r="G43" s="115">
        <v>10</v>
      </c>
      <c r="H43" s="116" t="s">
        <v>164</v>
      </c>
      <c r="I43" s="117" t="s">
        <v>20</v>
      </c>
    </row>
    <row r="44" spans="1:9" ht="12.75" customHeight="1" x14ac:dyDescent="0.25">
      <c r="A44" s="91" t="s">
        <v>462</v>
      </c>
      <c r="B44" s="114" t="s">
        <v>463</v>
      </c>
      <c r="C44" s="187" t="s">
        <v>464</v>
      </c>
      <c r="D44" s="181"/>
      <c r="E44" s="92">
        <v>33.4</v>
      </c>
      <c r="F44" s="40">
        <f t="shared" si="1"/>
        <v>200.39999999999998</v>
      </c>
      <c r="G44" s="115">
        <v>6</v>
      </c>
      <c r="H44" s="116" t="s">
        <v>164</v>
      </c>
      <c r="I44" s="117" t="s">
        <v>69</v>
      </c>
    </row>
    <row r="45" spans="1:9" ht="12.75" customHeight="1" x14ac:dyDescent="0.25">
      <c r="A45" s="91" t="s">
        <v>465</v>
      </c>
      <c r="B45" s="114" t="s">
        <v>466</v>
      </c>
      <c r="C45" s="186" t="s">
        <v>467</v>
      </c>
      <c r="D45" s="181"/>
      <c r="E45" s="92">
        <v>30</v>
      </c>
      <c r="F45" s="40">
        <f t="shared" si="1"/>
        <v>180</v>
      </c>
      <c r="G45" s="115">
        <v>6</v>
      </c>
      <c r="H45" s="116" t="s">
        <v>164</v>
      </c>
      <c r="I45" s="117" t="s">
        <v>69</v>
      </c>
    </row>
    <row r="46" spans="1:9" ht="12.75" customHeight="1" x14ac:dyDescent="0.25">
      <c r="A46" s="91" t="s">
        <v>468</v>
      </c>
      <c r="B46" s="114" t="s">
        <v>469</v>
      </c>
      <c r="C46" s="186" t="s">
        <v>470</v>
      </c>
      <c r="D46" s="181"/>
      <c r="E46" s="92">
        <v>27.75</v>
      </c>
      <c r="F46" s="40">
        <f t="shared" si="1"/>
        <v>166.5</v>
      </c>
      <c r="G46" s="115">
        <v>6</v>
      </c>
      <c r="H46" s="116" t="s">
        <v>164</v>
      </c>
      <c r="I46" s="117" t="s">
        <v>69</v>
      </c>
    </row>
    <row r="47" spans="1:9" ht="12.75" customHeight="1" x14ac:dyDescent="0.25">
      <c r="A47" s="91" t="s">
        <v>471</v>
      </c>
      <c r="B47" s="114" t="s">
        <v>472</v>
      </c>
      <c r="C47" s="207" t="s">
        <v>473</v>
      </c>
      <c r="D47" s="207"/>
      <c r="E47" s="92">
        <v>24.75</v>
      </c>
      <c r="F47" s="40">
        <f t="shared" si="1"/>
        <v>148.5</v>
      </c>
      <c r="G47" s="115">
        <v>6</v>
      </c>
      <c r="H47" s="116" t="s">
        <v>164</v>
      </c>
      <c r="I47" s="117" t="s">
        <v>69</v>
      </c>
    </row>
    <row r="48" spans="1:9" ht="3.45" customHeight="1" x14ac:dyDescent="0.25"/>
    <row r="49" spans="1:9" ht="19.8" thickBot="1" x14ac:dyDescent="0.35">
      <c r="A49" s="108" t="s">
        <v>474</v>
      </c>
      <c r="B49" s="57"/>
      <c r="C49" s="57"/>
      <c r="D49" s="124"/>
      <c r="E49" s="58"/>
      <c r="F49" s="58"/>
    </row>
    <row r="50" spans="1:9" ht="15" thickTop="1" thickBot="1" x14ac:dyDescent="0.3">
      <c r="A50" s="59" t="s">
        <v>10</v>
      </c>
      <c r="B50" s="59" t="s">
        <v>154</v>
      </c>
      <c r="C50" s="185" t="s">
        <v>475</v>
      </c>
      <c r="D50" s="185"/>
      <c r="E50" s="60" t="s">
        <v>375</v>
      </c>
      <c r="F50" s="60" t="s">
        <v>158</v>
      </c>
      <c r="G50" s="149" t="s">
        <v>159</v>
      </c>
      <c r="H50" s="149"/>
      <c r="I50" s="61" t="s">
        <v>16</v>
      </c>
    </row>
    <row r="51" spans="1:9" x14ac:dyDescent="0.25">
      <c r="A51" s="48" t="s">
        <v>476</v>
      </c>
      <c r="B51" s="126" t="s">
        <v>477</v>
      </c>
      <c r="C51" s="195" t="s">
        <v>478</v>
      </c>
      <c r="D51" s="206"/>
      <c r="E51" s="127">
        <v>7.15</v>
      </c>
      <c r="F51" s="40">
        <f t="shared" ref="F51:F59" si="2">G51*E51</f>
        <v>85.800000000000011</v>
      </c>
      <c r="G51" s="115">
        <v>12</v>
      </c>
      <c r="H51" s="116" t="s">
        <v>164</v>
      </c>
      <c r="I51" s="117" t="s">
        <v>20</v>
      </c>
    </row>
    <row r="52" spans="1:9" x14ac:dyDescent="0.25">
      <c r="A52" s="48" t="s">
        <v>479</v>
      </c>
      <c r="B52" s="126" t="s">
        <v>480</v>
      </c>
      <c r="C52" s="195" t="s">
        <v>481</v>
      </c>
      <c r="D52" s="206"/>
      <c r="E52" s="127">
        <v>5.85</v>
      </c>
      <c r="F52" s="40">
        <f t="shared" si="2"/>
        <v>70.199999999999989</v>
      </c>
      <c r="G52" s="115">
        <v>12</v>
      </c>
      <c r="H52" s="116" t="s">
        <v>164</v>
      </c>
      <c r="I52" s="117" t="s">
        <v>20</v>
      </c>
    </row>
    <row r="53" spans="1:9" x14ac:dyDescent="0.25">
      <c r="A53" s="62" t="s">
        <v>482</v>
      </c>
      <c r="B53" s="63" t="s">
        <v>483</v>
      </c>
      <c r="C53" s="195" t="s">
        <v>484</v>
      </c>
      <c r="D53" s="206"/>
      <c r="E53" s="65">
        <v>5.2</v>
      </c>
      <c r="F53" s="40">
        <f t="shared" si="2"/>
        <v>62.400000000000006</v>
      </c>
      <c r="G53" s="115">
        <v>12</v>
      </c>
      <c r="H53" s="116" t="s">
        <v>164</v>
      </c>
      <c r="I53" s="117" t="s">
        <v>20</v>
      </c>
    </row>
    <row r="54" spans="1:9" x14ac:dyDescent="0.25">
      <c r="A54" s="48" t="s">
        <v>485</v>
      </c>
      <c r="B54" s="126" t="s">
        <v>486</v>
      </c>
      <c r="C54" s="195" t="s">
        <v>487</v>
      </c>
      <c r="D54" s="206"/>
      <c r="E54" s="127">
        <v>12.4</v>
      </c>
      <c r="F54" s="40">
        <f t="shared" si="2"/>
        <v>248</v>
      </c>
      <c r="G54" s="115">
        <v>20</v>
      </c>
      <c r="H54" s="116" t="s">
        <v>164</v>
      </c>
      <c r="I54" s="117" t="s">
        <v>20</v>
      </c>
    </row>
    <row r="55" spans="1:9" x14ac:dyDescent="0.25">
      <c r="A55" s="48" t="s">
        <v>488</v>
      </c>
      <c r="B55" s="126" t="s">
        <v>489</v>
      </c>
      <c r="C55" s="195" t="s">
        <v>487</v>
      </c>
      <c r="D55" s="206"/>
      <c r="E55" s="127">
        <v>12.4</v>
      </c>
      <c r="F55" s="40">
        <f t="shared" si="2"/>
        <v>248</v>
      </c>
      <c r="G55" s="115">
        <v>20</v>
      </c>
      <c r="H55" s="116" t="s">
        <v>164</v>
      </c>
      <c r="I55" s="117" t="s">
        <v>20</v>
      </c>
    </row>
    <row r="56" spans="1:9" x14ac:dyDescent="0.25">
      <c r="A56" s="48" t="s">
        <v>490</v>
      </c>
      <c r="B56" s="126" t="s">
        <v>491</v>
      </c>
      <c r="C56" s="195" t="s">
        <v>487</v>
      </c>
      <c r="D56" s="206"/>
      <c r="E56" s="65">
        <v>12.4</v>
      </c>
      <c r="F56" s="40">
        <f t="shared" si="2"/>
        <v>248</v>
      </c>
      <c r="G56" s="115">
        <v>20</v>
      </c>
      <c r="H56" s="116" t="s">
        <v>164</v>
      </c>
      <c r="I56" s="117" t="s">
        <v>20</v>
      </c>
    </row>
    <row r="57" spans="1:9" x14ac:dyDescent="0.25">
      <c r="A57" s="48" t="s">
        <v>492</v>
      </c>
      <c r="B57" s="126" t="s">
        <v>493</v>
      </c>
      <c r="C57" s="195" t="s">
        <v>487</v>
      </c>
      <c r="D57" s="206"/>
      <c r="E57" s="127">
        <v>13.05</v>
      </c>
      <c r="F57" s="40">
        <f t="shared" si="2"/>
        <v>261</v>
      </c>
      <c r="G57" s="115">
        <v>20</v>
      </c>
      <c r="H57" s="116" t="s">
        <v>164</v>
      </c>
      <c r="I57" s="117" t="s">
        <v>20</v>
      </c>
    </row>
    <row r="58" spans="1:9" x14ac:dyDescent="0.25">
      <c r="A58" s="48" t="s">
        <v>494</v>
      </c>
      <c r="B58" s="126" t="s">
        <v>495</v>
      </c>
      <c r="C58" s="195" t="s">
        <v>487</v>
      </c>
      <c r="D58" s="206"/>
      <c r="E58" s="127">
        <v>13.05</v>
      </c>
      <c r="F58" s="40">
        <f t="shared" si="2"/>
        <v>261</v>
      </c>
      <c r="G58" s="115">
        <v>20</v>
      </c>
      <c r="H58" s="116" t="s">
        <v>164</v>
      </c>
      <c r="I58" s="117" t="s">
        <v>20</v>
      </c>
    </row>
    <row r="59" spans="1:9" x14ac:dyDescent="0.25">
      <c r="A59" s="48" t="s">
        <v>496</v>
      </c>
      <c r="B59" s="126" t="s">
        <v>497</v>
      </c>
      <c r="C59" s="195" t="s">
        <v>487</v>
      </c>
      <c r="D59" s="206"/>
      <c r="E59" s="65">
        <v>13.05</v>
      </c>
      <c r="F59" s="40">
        <f t="shared" si="2"/>
        <v>261</v>
      </c>
      <c r="G59" s="115">
        <v>20</v>
      </c>
      <c r="H59" s="116" t="s">
        <v>164</v>
      </c>
      <c r="I59" s="117" t="s">
        <v>20</v>
      </c>
    </row>
    <row r="60" spans="1:9" ht="16.95" customHeight="1" x14ac:dyDescent="0.25">
      <c r="A60" s="205" t="s">
        <v>498</v>
      </c>
      <c r="B60" s="205"/>
      <c r="C60" s="205"/>
      <c r="D60" s="205"/>
      <c r="E60" s="205"/>
      <c r="F60" s="205"/>
    </row>
    <row r="61" spans="1:9" ht="15.6" x14ac:dyDescent="0.25">
      <c r="A61" s="154" t="s">
        <v>149</v>
      </c>
      <c r="B61" s="154"/>
      <c r="C61" s="154"/>
      <c r="D61" s="154"/>
      <c r="E61" s="154"/>
      <c r="F61" s="154"/>
    </row>
  </sheetData>
  <mergeCells count="63">
    <mergeCell ref="A60:F60"/>
    <mergeCell ref="A61:F61"/>
    <mergeCell ref="A2:I2"/>
    <mergeCell ref="C54:D54"/>
    <mergeCell ref="C55:D55"/>
    <mergeCell ref="C56:D56"/>
    <mergeCell ref="C57:D57"/>
    <mergeCell ref="C58:D58"/>
    <mergeCell ref="C59:D59"/>
    <mergeCell ref="C47:D47"/>
    <mergeCell ref="C50:D50"/>
    <mergeCell ref="G50:H50"/>
    <mergeCell ref="C51:D51"/>
    <mergeCell ref="C52:D52"/>
    <mergeCell ref="C53:D53"/>
    <mergeCell ref="C41:D41"/>
    <mergeCell ref="C42:D42"/>
    <mergeCell ref="C43:D43"/>
    <mergeCell ref="C44:D44"/>
    <mergeCell ref="C45:D45"/>
    <mergeCell ref="C46:D46"/>
    <mergeCell ref="C40:D40"/>
    <mergeCell ref="C28:D28"/>
    <mergeCell ref="C29:D29"/>
    <mergeCell ref="C30:D30"/>
    <mergeCell ref="C31:D31"/>
    <mergeCell ref="C34:D34"/>
    <mergeCell ref="C35:D35"/>
    <mergeCell ref="C36:D36"/>
    <mergeCell ref="C37:D37"/>
    <mergeCell ref="C38:D38"/>
    <mergeCell ref="C39:D39"/>
    <mergeCell ref="G34:H34"/>
    <mergeCell ref="C23:D23"/>
    <mergeCell ref="E23:H23"/>
    <mergeCell ref="C24:D24"/>
    <mergeCell ref="C25:D25"/>
    <mergeCell ref="C26:D26"/>
    <mergeCell ref="C27:D27"/>
    <mergeCell ref="C22:D22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10:D10"/>
    <mergeCell ref="E10:H10"/>
    <mergeCell ref="A1:I1"/>
    <mergeCell ref="A3:B3"/>
    <mergeCell ref="C3:D3"/>
    <mergeCell ref="E3:I3"/>
    <mergeCell ref="A4:H4"/>
    <mergeCell ref="A5:H5"/>
    <mergeCell ref="A6:H6"/>
    <mergeCell ref="A7:H7"/>
    <mergeCell ref="C9:D9"/>
    <mergeCell ref="G9:H9"/>
  </mergeCells>
  <conditionalFormatting sqref="A34">
    <cfRule type="expression" dxfId="38" priority="3" stopIfTrue="1">
      <formula>MOD(ROW(),2)=0</formula>
    </cfRule>
  </conditionalFormatting>
  <conditionalFormatting sqref="A44:A47 E23:E32">
    <cfRule type="expression" dxfId="37" priority="28" stopIfTrue="1">
      <formula>MOD(ROW(),2)=0</formula>
    </cfRule>
  </conditionalFormatting>
  <conditionalFormatting sqref="A47:B47 E47">
    <cfRule type="expression" priority="27" stopIfTrue="1">
      <formula>MOD(ROW,2)=0</formula>
    </cfRule>
  </conditionalFormatting>
  <conditionalFormatting sqref="A10:C10 E10 A35:C46 F35:I47 E41:E43">
    <cfRule type="expression" dxfId="36" priority="20" stopIfTrue="1">
      <formula>MOD(ROW(),2)=0</formula>
    </cfRule>
    <cfRule type="expression" priority="21" stopIfTrue="1">
      <formula>MOD(ROW,2)=0</formula>
    </cfRule>
  </conditionalFormatting>
  <conditionalFormatting sqref="A11:C19 A24:C27 E24:E31 A28:A31 A32:C32 E32:F32 E44:E46">
    <cfRule type="expression" priority="46" stopIfTrue="1">
      <formula>MOD(ROW,2)=0</formula>
    </cfRule>
  </conditionalFormatting>
  <conditionalFormatting sqref="A20:C20 A23:C23">
    <cfRule type="expression" priority="31" stopIfTrue="1">
      <formula>MOD(ROW,2)=0</formula>
    </cfRule>
  </conditionalFormatting>
  <conditionalFormatting sqref="A21:C22">
    <cfRule type="expression" priority="11" stopIfTrue="1">
      <formula>MOD(ROW,2)=0</formula>
    </cfRule>
    <cfRule type="expression" dxfId="35" priority="10" stopIfTrue="1">
      <formula>MOD(ROW(),2)=0</formula>
    </cfRule>
  </conditionalFormatting>
  <conditionalFormatting sqref="A24:C27 E24:E31 A28:A31 A32:C32 A11:C19 E32:F32 E44:E46">
    <cfRule type="expression" dxfId="34" priority="45" stopIfTrue="1">
      <formula>MOD(ROW(),2)=0</formula>
    </cfRule>
  </conditionalFormatting>
  <conditionalFormatting sqref="A44:C46">
    <cfRule type="expression" priority="33" stopIfTrue="1">
      <formula>MOD(ROW,2)=0</formula>
    </cfRule>
  </conditionalFormatting>
  <conditionalFormatting sqref="A51:C59">
    <cfRule type="expression" dxfId="33" priority="32" stopIfTrue="1">
      <formula>MOD(ROW(),2)=0</formula>
    </cfRule>
  </conditionalFormatting>
  <conditionalFormatting sqref="A47:E47">
    <cfRule type="expression" dxfId="32" priority="26" stopIfTrue="1">
      <formula>MOD(ROW(),2)=0</formula>
    </cfRule>
  </conditionalFormatting>
  <conditionalFormatting sqref="B14:B19">
    <cfRule type="expression" priority="38" stopIfTrue="1">
      <formula>MOD(ROW,2)=0</formula>
    </cfRule>
    <cfRule type="expression" dxfId="31" priority="37" stopIfTrue="1">
      <formula>MOD(ROW(),2)=0</formula>
    </cfRule>
  </conditionalFormatting>
  <conditionalFormatting sqref="B21:B22">
    <cfRule type="expression" dxfId="30" priority="8" stopIfTrue="1">
      <formula>MOD(ROW(),2)=0</formula>
    </cfRule>
    <cfRule type="expression" priority="9" stopIfTrue="1">
      <formula>MOD(ROW,2)=0</formula>
    </cfRule>
  </conditionalFormatting>
  <conditionalFormatting sqref="B10:C10">
    <cfRule type="expression" dxfId="29" priority="18" stopIfTrue="1">
      <formula>MOD(ROW(),2)=0</formula>
    </cfRule>
    <cfRule type="expression" priority="19" stopIfTrue="1">
      <formula>MOD(ROW,2)=0</formula>
    </cfRule>
  </conditionalFormatting>
  <conditionalFormatting sqref="B20:C20 B22:C32">
    <cfRule type="expression" priority="25" stopIfTrue="1">
      <formula>MOD(ROW,2)=0</formula>
    </cfRule>
  </conditionalFormatting>
  <conditionalFormatting sqref="B22:C32 B20:C20">
    <cfRule type="expression" dxfId="28" priority="24" stopIfTrue="1">
      <formula>MOD(ROW(),2)=0</formula>
    </cfRule>
  </conditionalFormatting>
  <conditionalFormatting sqref="B24:C31">
    <cfRule type="expression" priority="40" stopIfTrue="1">
      <formula>MOD(ROW,2)=0</formula>
    </cfRule>
    <cfRule type="expression" dxfId="27" priority="39" stopIfTrue="1">
      <formula>MOD(ROW(),2)=0</formula>
    </cfRule>
  </conditionalFormatting>
  <conditionalFormatting sqref="B34:C47 E34:E47 A20:C20 A23:C27">
    <cfRule type="expression" dxfId="26" priority="30" stopIfTrue="1">
      <formula>MOD(ROW(),2)=0</formula>
    </cfRule>
  </conditionalFormatting>
  <conditionalFormatting sqref="C19">
    <cfRule type="expression" priority="42" stopIfTrue="1">
      <formula>MOD(ROW,2)=0</formula>
    </cfRule>
    <cfRule type="expression" dxfId="25" priority="41" stopIfTrue="1">
      <formula>MOD(ROW(),2)=0</formula>
    </cfRule>
  </conditionalFormatting>
  <conditionalFormatting sqref="D32">
    <cfRule type="expression" priority="23" stopIfTrue="1">
      <formula>MOD(ROW,2)=0</formula>
    </cfRule>
    <cfRule type="expression" dxfId="24" priority="22" stopIfTrue="1">
      <formula>MOD(ROW(),2)=0</formula>
    </cfRule>
  </conditionalFormatting>
  <conditionalFormatting sqref="E23:E32 A47">
    <cfRule type="expression" priority="29" stopIfTrue="1">
      <formula>MOD(ROW,2)=0</formula>
    </cfRule>
  </conditionalFormatting>
  <conditionalFormatting sqref="E24:E26 A24:A26">
    <cfRule type="expression" dxfId="23" priority="43" stopIfTrue="1">
      <formula>MOD(ROW(),2)=0</formula>
    </cfRule>
  </conditionalFormatting>
  <conditionalFormatting sqref="E24:E26 A24:C59">
    <cfRule type="expression" priority="44" stopIfTrue="1">
      <formula>MOD(ROW,2)=0</formula>
    </cfRule>
  </conditionalFormatting>
  <conditionalFormatting sqref="E24:E32">
    <cfRule type="expression" dxfId="22" priority="35" stopIfTrue="1">
      <formula>MOD(ROW(),2)=0</formula>
    </cfRule>
    <cfRule type="expression" priority="36" stopIfTrue="1">
      <formula>MOD(ROW,2)=0</formula>
    </cfRule>
  </conditionalFormatting>
  <conditionalFormatting sqref="E34:E47">
    <cfRule type="expression" priority="34" stopIfTrue="1">
      <formula>MOD(ROW,2)=0</formula>
    </cfRule>
  </conditionalFormatting>
  <conditionalFormatting sqref="E11:I19 E20:H22 I20:I31">
    <cfRule type="expression" priority="17" stopIfTrue="1">
      <formula>MOD(ROW,2)=0</formula>
    </cfRule>
    <cfRule type="expression" dxfId="21" priority="16" stopIfTrue="1">
      <formula>MOD(ROW(),2)=0</formula>
    </cfRule>
  </conditionalFormatting>
  <conditionalFormatting sqref="E51:I59">
    <cfRule type="expression" priority="15" stopIfTrue="1">
      <formula>MOD(ROW,2)=0</formula>
    </cfRule>
    <cfRule type="expression" dxfId="20" priority="14" stopIfTrue="1">
      <formula>MOD(ROW(),2)=0</formula>
    </cfRule>
  </conditionalFormatting>
  <conditionalFormatting sqref="F34:G34">
    <cfRule type="expression" priority="5" stopIfTrue="1">
      <formula>MOD(ROW,2)=0</formula>
    </cfRule>
    <cfRule type="expression" dxfId="19" priority="4" stopIfTrue="1">
      <formula>MOD(ROW(),2)=0</formula>
    </cfRule>
  </conditionalFormatting>
  <conditionalFormatting sqref="F24:H31 G32:I32">
    <cfRule type="expression" priority="13" stopIfTrue="1">
      <formula>MOD(ROW,2)=0</formula>
    </cfRule>
    <cfRule type="expression" dxfId="18" priority="12" stopIfTrue="1">
      <formula>MOD(ROW(),2)=0</formula>
    </cfRule>
  </conditionalFormatting>
  <conditionalFormatting sqref="I10">
    <cfRule type="expression" priority="7" stopIfTrue="1">
      <formula>MOD(ROW,2)=0</formula>
    </cfRule>
    <cfRule type="expression" dxfId="17" priority="6" stopIfTrue="1">
      <formula>MOD(ROW(),2)=0</formula>
    </cfRule>
  </conditionalFormatting>
  <conditionalFormatting sqref="I34">
    <cfRule type="expression" dxfId="16" priority="1" stopIfTrue="1">
      <formula>MOD(ROW(),2)=0</formula>
    </cfRule>
    <cfRule type="expression" priority="2" stopIfTrue="1">
      <formula>MOD(ROW,2)=0</formula>
    </cfRule>
  </conditionalFormatting>
  <printOptions horizontalCentered="1"/>
  <pageMargins left="0.25" right="0.25" top="0.75" bottom="0.75" header="0.3" footer="0.3"/>
  <pageSetup scale="89" orientation="portrait" r:id="rId1"/>
  <headerFooter>
    <oddHeader>&amp;C&amp;G</oddHeader>
    <oddFooter xml:space="preserve">&amp;L&amp;"Arial,Bold"&amp;9 100 Delaware Street, Forest City, PA 18421
Phone: 570-785-3365, Fax: 570-785-9672&amp;"Arial,Regular"&amp;10
&amp;C&amp;"Arial,Bold"&amp;9www.kartri.com
saleinfo@kartri.com&amp;"Arial,Regular"&amp;10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A4C4-24A5-4876-9DAC-BC5A784F26B1}">
  <sheetPr>
    <tabColor theme="9" tint="-0.249977111117893"/>
    <pageSetUpPr fitToPage="1"/>
  </sheetPr>
  <dimension ref="A1:I32"/>
  <sheetViews>
    <sheetView zoomScaleNormal="100" workbookViewId="0">
      <selection activeCell="M8" sqref="M8"/>
    </sheetView>
  </sheetViews>
  <sheetFormatPr defaultRowHeight="13.2" x14ac:dyDescent="0.25"/>
  <cols>
    <col min="1" max="1" width="15" style="51" customWidth="1"/>
    <col min="2" max="2" width="12.5546875" style="51" customWidth="1"/>
    <col min="3" max="3" width="24.109375" style="51" customWidth="1"/>
    <col min="4" max="4" width="23.21875" style="51" customWidth="1"/>
    <col min="5" max="5" width="9.6640625" style="52" bestFit="1" customWidth="1"/>
    <col min="6" max="6" width="11.5546875" style="1" customWidth="1"/>
    <col min="7" max="7" width="4" style="1" bestFit="1" customWidth="1"/>
    <col min="8" max="8" width="6.109375" style="1" customWidth="1"/>
    <col min="9" max="9" width="5.5546875" style="9" bestFit="1" customWidth="1"/>
    <col min="10" max="16384" width="8.88671875" style="1"/>
  </cols>
  <sheetData>
    <row r="1" spans="1:9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</row>
    <row r="2" spans="1:9" ht="30" customHeight="1" x14ac:dyDescent="0.25">
      <c r="A2" s="142" t="s">
        <v>500</v>
      </c>
      <c r="B2" s="142"/>
      <c r="C2" s="142"/>
      <c r="D2" s="142"/>
      <c r="E2" s="142"/>
      <c r="F2" s="142"/>
      <c r="G2" s="142"/>
      <c r="H2" s="142"/>
      <c r="I2" s="54"/>
    </row>
    <row r="3" spans="1:9" ht="18" x14ac:dyDescent="0.25">
      <c r="A3" s="179" t="s">
        <v>499</v>
      </c>
      <c r="B3" s="179"/>
      <c r="C3" s="179" t="s">
        <v>500</v>
      </c>
      <c r="D3" s="179"/>
      <c r="E3" s="179" t="s">
        <v>501</v>
      </c>
      <c r="F3" s="179"/>
      <c r="G3" s="179"/>
      <c r="H3" s="179"/>
      <c r="I3" s="179"/>
    </row>
    <row r="4" spans="1:9" x14ac:dyDescent="0.25">
      <c r="A4" s="180" t="s">
        <v>5</v>
      </c>
      <c r="B4" s="180"/>
      <c r="C4" s="180"/>
      <c r="D4" s="180"/>
      <c r="E4" s="180"/>
      <c r="F4" s="180"/>
      <c r="G4" s="180"/>
      <c r="H4" s="180"/>
      <c r="I4" s="4"/>
    </row>
    <row r="5" spans="1:9" x14ac:dyDescent="0.25">
      <c r="A5" s="180" t="s">
        <v>6</v>
      </c>
      <c r="B5" s="180"/>
      <c r="C5" s="180"/>
      <c r="D5" s="180"/>
      <c r="E5" s="180"/>
      <c r="F5" s="180"/>
      <c r="G5" s="180"/>
      <c r="H5" s="180"/>
      <c r="I5" s="4"/>
    </row>
    <row r="6" spans="1:9" x14ac:dyDescent="0.25">
      <c r="A6" s="180" t="s">
        <v>7</v>
      </c>
      <c r="B6" s="180"/>
      <c r="C6" s="180"/>
      <c r="D6" s="180"/>
      <c r="E6" s="180"/>
      <c r="F6" s="180"/>
      <c r="G6" s="180"/>
      <c r="H6" s="180"/>
      <c r="I6" s="4"/>
    </row>
    <row r="7" spans="1:9" s="7" customFormat="1" ht="21.6" customHeight="1" x14ac:dyDescent="0.25">
      <c r="A7" s="148" t="s">
        <v>8</v>
      </c>
      <c r="B7" s="148"/>
      <c r="C7" s="148"/>
      <c r="D7" s="148"/>
      <c r="E7" s="148"/>
      <c r="F7" s="148"/>
      <c r="G7" s="148"/>
      <c r="H7" s="148"/>
      <c r="I7" s="148"/>
    </row>
    <row r="8" spans="1:9" ht="18.75" customHeight="1" thickBot="1" x14ac:dyDescent="0.4">
      <c r="A8" s="108" t="s">
        <v>502</v>
      </c>
      <c r="B8" s="108"/>
      <c r="C8" s="57"/>
      <c r="D8" s="128"/>
      <c r="E8" s="109"/>
      <c r="F8" s="109"/>
      <c r="I8" s="57"/>
    </row>
    <row r="9" spans="1:9" ht="15" thickTop="1" thickBot="1" x14ac:dyDescent="0.3">
      <c r="A9" s="59" t="s">
        <v>10</v>
      </c>
      <c r="B9" s="59" t="s">
        <v>154</v>
      </c>
      <c r="C9" s="185" t="s">
        <v>388</v>
      </c>
      <c r="D9" s="200"/>
      <c r="E9" s="60" t="s">
        <v>503</v>
      </c>
      <c r="F9" s="60" t="s">
        <v>158</v>
      </c>
      <c r="G9" s="202" t="s">
        <v>159</v>
      </c>
      <c r="H9" s="202"/>
      <c r="I9" s="60" t="s">
        <v>16</v>
      </c>
    </row>
    <row r="10" spans="1:9" x14ac:dyDescent="0.25">
      <c r="A10" s="62" t="s">
        <v>504</v>
      </c>
      <c r="B10" s="63" t="s">
        <v>505</v>
      </c>
      <c r="C10" s="195" t="s">
        <v>506</v>
      </c>
      <c r="D10" s="206"/>
      <c r="E10" s="65">
        <v>27.2</v>
      </c>
      <c r="F10" s="65">
        <f>E10*G10</f>
        <v>163.19999999999999</v>
      </c>
      <c r="G10" s="129">
        <v>6</v>
      </c>
      <c r="H10" s="80" t="s">
        <v>164</v>
      </c>
      <c r="I10" s="65" t="s">
        <v>20</v>
      </c>
    </row>
    <row r="11" spans="1:9" x14ac:dyDescent="0.25">
      <c r="A11" s="62" t="s">
        <v>507</v>
      </c>
      <c r="B11" s="63" t="s">
        <v>508</v>
      </c>
      <c r="C11" s="195" t="s">
        <v>509</v>
      </c>
      <c r="D11" s="206"/>
      <c r="E11" s="65">
        <v>7.55</v>
      </c>
      <c r="F11" s="65">
        <f>E11*G11</f>
        <v>181.2</v>
      </c>
      <c r="G11" s="130">
        <v>24</v>
      </c>
      <c r="H11" s="80" t="s">
        <v>164</v>
      </c>
      <c r="I11" s="65" t="s">
        <v>20</v>
      </c>
    </row>
    <row r="12" spans="1:9" x14ac:dyDescent="0.25">
      <c r="A12" s="62" t="s">
        <v>510</v>
      </c>
      <c r="B12" s="63" t="s">
        <v>511</v>
      </c>
      <c r="C12" s="195" t="s">
        <v>512</v>
      </c>
      <c r="D12" s="206"/>
      <c r="E12" s="65">
        <v>6.3</v>
      </c>
      <c r="F12" s="65">
        <f>E12*G12</f>
        <v>151.19999999999999</v>
      </c>
      <c r="G12" s="130">
        <v>24</v>
      </c>
      <c r="H12" s="80" t="s">
        <v>164</v>
      </c>
      <c r="I12" s="65" t="s">
        <v>20</v>
      </c>
    </row>
    <row r="13" spans="1:9" x14ac:dyDescent="0.25">
      <c r="A13" s="62" t="s">
        <v>513</v>
      </c>
      <c r="B13" s="63" t="s">
        <v>514</v>
      </c>
      <c r="C13" s="195" t="s">
        <v>515</v>
      </c>
      <c r="D13" s="206"/>
      <c r="E13" s="65">
        <v>2.4</v>
      </c>
      <c r="F13" s="65">
        <f>E13*G13</f>
        <v>115.19999999999999</v>
      </c>
      <c r="G13" s="130">
        <v>48</v>
      </c>
      <c r="H13" s="80" t="s">
        <v>164</v>
      </c>
      <c r="I13" s="65" t="s">
        <v>20</v>
      </c>
    </row>
    <row r="14" spans="1:9" ht="3.45" customHeight="1" x14ac:dyDescent="0.25">
      <c r="F14" s="65"/>
      <c r="G14" s="130"/>
      <c r="H14" s="80"/>
      <c r="I14" s="65"/>
    </row>
    <row r="15" spans="1:9" ht="18.75" customHeight="1" thickBot="1" x14ac:dyDescent="0.35">
      <c r="A15" s="108" t="s">
        <v>516</v>
      </c>
      <c r="B15" s="57"/>
      <c r="C15" s="57"/>
      <c r="D15" s="57"/>
      <c r="E15" s="58"/>
      <c r="F15" s="58"/>
      <c r="G15" s="58"/>
      <c r="H15" s="58"/>
      <c r="I15" s="58"/>
    </row>
    <row r="16" spans="1:9" ht="18.75" hidden="1" customHeight="1" thickTop="1" thickBot="1" x14ac:dyDescent="0.35">
      <c r="A16" s="108"/>
      <c r="B16" s="57"/>
      <c r="C16" s="57"/>
      <c r="D16" s="57"/>
      <c r="E16" s="58"/>
      <c r="F16" s="58"/>
      <c r="G16" s="58"/>
      <c r="H16" s="58"/>
      <c r="I16" s="58"/>
    </row>
    <row r="17" spans="1:9" ht="15.6" customHeight="1" thickTop="1" thickBot="1" x14ac:dyDescent="0.3">
      <c r="A17" s="59" t="s">
        <v>10</v>
      </c>
      <c r="B17" s="59" t="s">
        <v>154</v>
      </c>
      <c r="C17" s="185" t="s">
        <v>388</v>
      </c>
      <c r="D17" s="200"/>
      <c r="E17" s="60" t="s">
        <v>503</v>
      </c>
      <c r="F17" s="60" t="s">
        <v>158</v>
      </c>
      <c r="G17" s="202" t="s">
        <v>159</v>
      </c>
      <c r="H17" s="202"/>
      <c r="I17" s="60" t="s">
        <v>16</v>
      </c>
    </row>
    <row r="18" spans="1:9" ht="13.95" customHeight="1" x14ac:dyDescent="0.25">
      <c r="A18" s="131" t="s">
        <v>517</v>
      </c>
      <c r="B18" s="132" t="s">
        <v>518</v>
      </c>
      <c r="C18" s="208" t="s">
        <v>519</v>
      </c>
      <c r="D18" s="209"/>
      <c r="E18" s="133">
        <v>30.65</v>
      </c>
      <c r="F18" s="65">
        <f>E18*G18</f>
        <v>367.79999999999995</v>
      </c>
      <c r="G18" s="130">
        <v>12</v>
      </c>
      <c r="H18" s="80" t="s">
        <v>164</v>
      </c>
      <c r="I18" s="65" t="s">
        <v>20</v>
      </c>
    </row>
    <row r="19" spans="1:9" ht="13.95" customHeight="1" x14ac:dyDescent="0.25">
      <c r="A19" s="131" t="s">
        <v>520</v>
      </c>
      <c r="B19" s="132" t="s">
        <v>518</v>
      </c>
      <c r="C19" s="211" t="s">
        <v>521</v>
      </c>
      <c r="D19" s="211"/>
      <c r="E19" s="133">
        <v>31.95</v>
      </c>
      <c r="F19" s="65">
        <f>E19*G19</f>
        <v>383.4</v>
      </c>
      <c r="G19" s="130">
        <v>12</v>
      </c>
      <c r="H19" s="80" t="s">
        <v>164</v>
      </c>
      <c r="I19" s="65" t="s">
        <v>20</v>
      </c>
    </row>
    <row r="20" spans="1:9" ht="13.95" customHeight="1" x14ac:dyDescent="0.25">
      <c r="A20" s="131" t="s">
        <v>522</v>
      </c>
      <c r="B20" s="132" t="s">
        <v>518</v>
      </c>
      <c r="C20" s="211" t="s">
        <v>523</v>
      </c>
      <c r="D20" s="211"/>
      <c r="E20" s="133">
        <v>21.85</v>
      </c>
      <c r="F20" s="65">
        <f>E20*G20</f>
        <v>262.20000000000005</v>
      </c>
      <c r="G20" s="130">
        <v>12</v>
      </c>
      <c r="H20" s="80" t="s">
        <v>164</v>
      </c>
      <c r="I20" s="65" t="s">
        <v>20</v>
      </c>
    </row>
    <row r="21" spans="1:9" ht="13.95" customHeight="1" x14ac:dyDescent="0.25">
      <c r="A21" s="131" t="s">
        <v>524</v>
      </c>
      <c r="B21" s="132" t="s">
        <v>525</v>
      </c>
      <c r="C21" s="211" t="s">
        <v>526</v>
      </c>
      <c r="D21" s="211"/>
      <c r="E21" s="133">
        <v>28.9</v>
      </c>
      <c r="F21" s="65">
        <f>E21*G21</f>
        <v>173.39999999999998</v>
      </c>
      <c r="G21" s="130">
        <v>6</v>
      </c>
      <c r="H21" s="80" t="s">
        <v>164</v>
      </c>
      <c r="I21" s="65" t="s">
        <v>20</v>
      </c>
    </row>
    <row r="22" spans="1:9" ht="13.95" customHeight="1" x14ac:dyDescent="0.25">
      <c r="A22" s="131" t="s">
        <v>527</v>
      </c>
      <c r="B22" s="132"/>
      <c r="C22" s="211" t="s">
        <v>528</v>
      </c>
      <c r="D22" s="211"/>
      <c r="E22" s="133">
        <v>2.65</v>
      </c>
      <c r="F22" s="65" t="s">
        <v>19</v>
      </c>
      <c r="G22" s="130"/>
      <c r="H22" s="80"/>
      <c r="I22" s="65" t="s">
        <v>20</v>
      </c>
    </row>
    <row r="23" spans="1:9" ht="3.45" customHeight="1" x14ac:dyDescent="0.25">
      <c r="E23" s="51"/>
    </row>
    <row r="24" spans="1:9" ht="18.75" customHeight="1" thickBot="1" x14ac:dyDescent="0.4">
      <c r="A24" s="108" t="s">
        <v>529</v>
      </c>
      <c r="B24" s="106"/>
      <c r="C24" s="106"/>
      <c r="D24" s="134"/>
      <c r="E24" s="134"/>
      <c r="F24" s="134"/>
      <c r="I24" s="134"/>
    </row>
    <row r="25" spans="1:9" ht="15.6" customHeight="1" thickTop="1" thickBot="1" x14ac:dyDescent="0.3">
      <c r="A25" s="59" t="s">
        <v>10</v>
      </c>
      <c r="B25" s="185" t="s">
        <v>388</v>
      </c>
      <c r="C25" s="185"/>
      <c r="D25" s="185"/>
      <c r="E25" s="60" t="s">
        <v>530</v>
      </c>
      <c r="F25" s="60" t="s">
        <v>158</v>
      </c>
      <c r="G25" s="202" t="s">
        <v>159</v>
      </c>
      <c r="H25" s="202"/>
      <c r="I25" s="60" t="s">
        <v>16</v>
      </c>
    </row>
    <row r="26" spans="1:9" ht="13.95" customHeight="1" x14ac:dyDescent="0.25">
      <c r="A26" s="62" t="s">
        <v>531</v>
      </c>
      <c r="B26" s="194" t="s">
        <v>532</v>
      </c>
      <c r="C26" s="194"/>
      <c r="D26" s="194"/>
      <c r="E26" s="65">
        <v>1.95</v>
      </c>
      <c r="F26" s="65">
        <f>E26*G26</f>
        <v>48.75</v>
      </c>
      <c r="G26" s="130">
        <v>25</v>
      </c>
      <c r="H26" s="80" t="s">
        <v>164</v>
      </c>
      <c r="I26" s="65" t="s">
        <v>20</v>
      </c>
    </row>
    <row r="27" spans="1:9" ht="13.95" customHeight="1" x14ac:dyDescent="0.25">
      <c r="A27" s="62" t="s">
        <v>533</v>
      </c>
      <c r="B27" s="212" t="s">
        <v>534</v>
      </c>
      <c r="C27" s="212"/>
      <c r="D27" s="212"/>
      <c r="E27" s="65">
        <v>2</v>
      </c>
      <c r="F27" s="65">
        <f>E27*G27</f>
        <v>50</v>
      </c>
      <c r="G27" s="130">
        <v>25</v>
      </c>
      <c r="H27" s="80" t="s">
        <v>164</v>
      </c>
      <c r="I27" s="65" t="s">
        <v>20</v>
      </c>
    </row>
    <row r="28" spans="1:9" ht="13.95" customHeight="1" x14ac:dyDescent="0.25">
      <c r="A28" s="62" t="s">
        <v>535</v>
      </c>
      <c r="B28" s="212" t="s">
        <v>536</v>
      </c>
      <c r="C28" s="212"/>
      <c r="D28" s="212"/>
      <c r="E28" s="65">
        <v>2.75</v>
      </c>
      <c r="F28" s="65">
        <f>E28*G28</f>
        <v>68.75</v>
      </c>
      <c r="G28" s="130">
        <v>25</v>
      </c>
      <c r="H28" s="80" t="s">
        <v>164</v>
      </c>
      <c r="I28" s="65" t="s">
        <v>20</v>
      </c>
    </row>
    <row r="29" spans="1:9" ht="13.95" customHeight="1" x14ac:dyDescent="0.25">
      <c r="A29" s="62" t="s">
        <v>537</v>
      </c>
      <c r="B29" s="212" t="s">
        <v>538</v>
      </c>
      <c r="C29" s="212"/>
      <c r="D29" s="212"/>
      <c r="E29" s="65">
        <v>3.45</v>
      </c>
      <c r="F29" s="65">
        <f>E29*G29</f>
        <v>86.25</v>
      </c>
      <c r="G29" s="130">
        <v>25</v>
      </c>
      <c r="H29" s="80" t="s">
        <v>164</v>
      </c>
      <c r="I29" s="65" t="s">
        <v>20</v>
      </c>
    </row>
    <row r="30" spans="1:9" ht="13.95" customHeight="1" x14ac:dyDescent="0.25">
      <c r="A30" s="131" t="s">
        <v>539</v>
      </c>
      <c r="B30" s="213" t="s">
        <v>540</v>
      </c>
      <c r="C30" s="213"/>
      <c r="D30" s="213"/>
      <c r="E30" s="133">
        <v>2.15</v>
      </c>
      <c r="F30" s="133">
        <f>E30*G30</f>
        <v>215</v>
      </c>
      <c r="G30" s="135">
        <v>100</v>
      </c>
      <c r="H30" s="136" t="s">
        <v>164</v>
      </c>
      <c r="I30" s="65" t="s">
        <v>20</v>
      </c>
    </row>
    <row r="31" spans="1:9" ht="5.4" customHeight="1" x14ac:dyDescent="0.25"/>
    <row r="32" spans="1:9" ht="17.399999999999999" x14ac:dyDescent="0.25">
      <c r="A32" s="210" t="s">
        <v>149</v>
      </c>
      <c r="B32" s="210"/>
      <c r="C32" s="210"/>
      <c r="D32" s="210"/>
      <c r="E32" s="210"/>
      <c r="F32" s="210"/>
      <c r="G32" s="210"/>
      <c r="H32" s="210"/>
      <c r="I32" s="137"/>
    </row>
  </sheetData>
  <mergeCells count="30">
    <mergeCell ref="A32:H32"/>
    <mergeCell ref="C19:D19"/>
    <mergeCell ref="C20:D20"/>
    <mergeCell ref="C21:D21"/>
    <mergeCell ref="C22:D22"/>
    <mergeCell ref="B25:D25"/>
    <mergeCell ref="G25:H25"/>
    <mergeCell ref="B26:D26"/>
    <mergeCell ref="B27:D27"/>
    <mergeCell ref="B28:D28"/>
    <mergeCell ref="B29:D29"/>
    <mergeCell ref="B30:D30"/>
    <mergeCell ref="C18:D18"/>
    <mergeCell ref="A5:H5"/>
    <mergeCell ref="A6:H6"/>
    <mergeCell ref="A7:I7"/>
    <mergeCell ref="C9:D9"/>
    <mergeCell ref="G9:H9"/>
    <mergeCell ref="C10:D10"/>
    <mergeCell ref="C11:D11"/>
    <mergeCell ref="C12:D12"/>
    <mergeCell ref="C13:D13"/>
    <mergeCell ref="C17:D17"/>
    <mergeCell ref="G17:H17"/>
    <mergeCell ref="A4:H4"/>
    <mergeCell ref="A1:I1"/>
    <mergeCell ref="A2:H2"/>
    <mergeCell ref="A3:B3"/>
    <mergeCell ref="C3:D3"/>
    <mergeCell ref="E3:I3"/>
  </mergeCells>
  <conditionalFormatting sqref="A18:B19 E18:I22 C19 A20:C22">
    <cfRule type="expression" priority="32" stopIfTrue="1">
      <formula>MOD(ROW,2)=0</formula>
    </cfRule>
  </conditionalFormatting>
  <conditionalFormatting sqref="A28:B29">
    <cfRule type="expression" dxfId="15" priority="30" stopIfTrue="1">
      <formula>MOD(ROW(),2)=0</formula>
    </cfRule>
    <cfRule type="expression" priority="31" stopIfTrue="1">
      <formula>MOD(ROW,2)=0</formula>
    </cfRule>
  </conditionalFormatting>
  <conditionalFormatting sqref="A9:C22 E9:E17 E18:I22 A25:B30">
    <cfRule type="expression" dxfId="14" priority="13" stopIfTrue="1">
      <formula>MOD(ROW(),2)=0</formula>
    </cfRule>
  </conditionalFormatting>
  <conditionalFormatting sqref="A10:C13">
    <cfRule type="expression" priority="29" stopIfTrue="1">
      <formula>MOD(ROW,2)=0</formula>
    </cfRule>
  </conditionalFormatting>
  <conditionalFormatting sqref="A18:C19">
    <cfRule type="expression" dxfId="13" priority="9" stopIfTrue="1">
      <formula>MOD(ROW(),2)=0</formula>
    </cfRule>
  </conditionalFormatting>
  <conditionalFormatting sqref="C18:C19">
    <cfRule type="expression" priority="10" stopIfTrue="1">
      <formula>MOD(ROW,2)=0</formula>
    </cfRule>
  </conditionalFormatting>
  <conditionalFormatting sqref="D14">
    <cfRule type="expression" dxfId="12" priority="18" stopIfTrue="1">
      <formula>MOD(ROW(),2)=0</formula>
    </cfRule>
  </conditionalFormatting>
  <conditionalFormatting sqref="D15:I16">
    <cfRule type="expression" dxfId="11" priority="25" stopIfTrue="1">
      <formula>MOD(ROW(),2)=0</formula>
    </cfRule>
  </conditionalFormatting>
  <conditionalFormatting sqref="E9:E17 A26:B30">
    <cfRule type="expression" priority="26" stopIfTrue="1">
      <formula>MOD(ROW,2)=0</formula>
    </cfRule>
  </conditionalFormatting>
  <conditionalFormatting sqref="E25:E30 F15:I16">
    <cfRule type="expression" priority="28" stopIfTrue="1">
      <formula>MOD(ROW,2)=0</formula>
    </cfRule>
  </conditionalFormatting>
  <conditionalFormatting sqref="E25:E30">
    <cfRule type="expression" dxfId="10" priority="27" stopIfTrue="1">
      <formula>MOD(ROW(),2)=0</formula>
    </cfRule>
  </conditionalFormatting>
  <conditionalFormatting sqref="E27:H27">
    <cfRule type="expression" dxfId="9" priority="23" stopIfTrue="1">
      <formula>MOD(ROW(),2)=0</formula>
    </cfRule>
    <cfRule type="expression" priority="24" stopIfTrue="1">
      <formula>MOD(ROW,2)=0</formula>
    </cfRule>
  </conditionalFormatting>
  <conditionalFormatting sqref="F9:G9">
    <cfRule type="expression" dxfId="8" priority="3" stopIfTrue="1">
      <formula>MOD(ROW(),2)=0</formula>
    </cfRule>
    <cfRule type="expression" priority="4" stopIfTrue="1">
      <formula>MOD(ROW,2)=0</formula>
    </cfRule>
  </conditionalFormatting>
  <conditionalFormatting sqref="F17:G17">
    <cfRule type="expression" dxfId="7" priority="14" stopIfTrue="1">
      <formula>MOD(ROW(),2)=0</formula>
    </cfRule>
    <cfRule type="expression" priority="15" stopIfTrue="1">
      <formula>MOD(ROW,2)=0</formula>
    </cfRule>
  </conditionalFormatting>
  <conditionalFormatting sqref="F25:G25">
    <cfRule type="expression" dxfId="6" priority="11" stopIfTrue="1">
      <formula>MOD(ROW(),2)=0</formula>
    </cfRule>
    <cfRule type="expression" priority="12" stopIfTrue="1">
      <formula>MOD(ROW,2)=0</formula>
    </cfRule>
  </conditionalFormatting>
  <conditionalFormatting sqref="F28:H30">
    <cfRule type="expression" dxfId="5" priority="19" stopIfTrue="1">
      <formula>MOD(ROW(),2)=0</formula>
    </cfRule>
    <cfRule type="expression" priority="20" stopIfTrue="1">
      <formula>MOD(ROW,2)=0</formula>
    </cfRule>
  </conditionalFormatting>
  <conditionalFormatting sqref="F10:I14">
    <cfRule type="expression" dxfId="4" priority="16" stopIfTrue="1">
      <formula>MOD(ROW(),2)=0</formula>
    </cfRule>
    <cfRule type="expression" priority="17" stopIfTrue="1">
      <formula>MOD(ROW,2)=0</formula>
    </cfRule>
  </conditionalFormatting>
  <conditionalFormatting sqref="F26:I26 I27:I30">
    <cfRule type="expression" dxfId="3" priority="21" stopIfTrue="1">
      <formula>MOD(ROW(),2)=0</formula>
    </cfRule>
    <cfRule type="expression" priority="22" stopIfTrue="1">
      <formula>MOD(ROW,2)=0</formula>
    </cfRule>
  </conditionalFormatting>
  <conditionalFormatting sqref="I9">
    <cfRule type="expression" dxfId="2" priority="1" stopIfTrue="1">
      <formula>MOD(ROW(),2)=0</formula>
    </cfRule>
    <cfRule type="expression" priority="2" stopIfTrue="1">
      <formula>MOD(ROW,2)=0</formula>
    </cfRule>
  </conditionalFormatting>
  <conditionalFormatting sqref="I17">
    <cfRule type="expression" dxfId="1" priority="7" stopIfTrue="1">
      <formula>MOD(ROW(),2)=0</formula>
    </cfRule>
    <cfRule type="expression" priority="8" stopIfTrue="1">
      <formula>MOD(ROW,2)=0</formula>
    </cfRule>
  </conditionalFormatting>
  <conditionalFormatting sqref="I25">
    <cfRule type="expression" dxfId="0" priority="5" stopIfTrue="1">
      <formula>MOD(ROW(),2)=0</formula>
    </cfRule>
    <cfRule type="expression" priority="6" stopIfTrue="1">
      <formula>MOD(ROW,2)=0</formula>
    </cfRule>
  </conditionalFormatting>
  <pageMargins left="0.7" right="0.7" top="1.012" bottom="0.75" header="0.3" footer="0.3"/>
  <pageSetup scale="82" fitToHeight="0" orientation="portrait" r:id="rId1"/>
  <headerFooter>
    <oddHeader>&amp;C&amp;G</oddHeader>
    <oddFooter xml:space="preserve">&amp;L&amp;"Arial,Bold"&amp;9 100 Delaware Street, Forest City, PA 18421
Phone: 570-785-3365, Fax: 570-785-9672&amp;"Arial,Regular"&amp;10
&amp;C&amp;"Arial,Bold"&amp;9www.kartri.com
saleinfo@kartri.com&amp;"Arial,Regular"&amp;10
&amp;R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Hang2it</vt:lpstr>
      <vt:lpstr>Stocked</vt:lpstr>
      <vt:lpstr>Hware &amp; Accy</vt:lpstr>
      <vt:lpstr>Bed</vt:lpstr>
      <vt:lpstr>Spa</vt:lpstr>
      <vt:lpstr>Bed!Print_Area</vt:lpstr>
      <vt:lpstr>Hang2it!Print_Area</vt:lpstr>
      <vt:lpstr>'Hware &amp; Accy'!Print_Area</vt:lpstr>
      <vt:lpstr>Spa!Print_Area</vt:lpstr>
      <vt:lpstr>Stocked!Print_Area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Ramos</dc:creator>
  <cp:lastModifiedBy>Charles Ramos</cp:lastModifiedBy>
  <cp:lastPrinted>2026-02-07T16:42:22Z</cp:lastPrinted>
  <dcterms:created xsi:type="dcterms:W3CDTF">2026-02-07T16:27:59Z</dcterms:created>
  <dcterms:modified xsi:type="dcterms:W3CDTF">2026-02-23T13:48:46Z</dcterms:modified>
</cp:coreProperties>
</file>